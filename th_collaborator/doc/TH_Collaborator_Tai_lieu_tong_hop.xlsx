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hiết kế" sheetId="2" state="visible" r:id="rId2"/>
    <sheet xmlns:r="http://schemas.openxmlformats.org/officeDocument/2006/relationships" name="Mô hình dữ liệu" sheetId="3" state="visible" r:id="rId3"/>
    <sheet xmlns:r="http://schemas.openxmlformats.org/officeDocument/2006/relationships" name="Sơ đồ" sheetId="4" state="visible" r:id="rId4"/>
    <sheet xmlns:r="http://schemas.openxmlformats.org/officeDocument/2006/relationships" name="YC nghiệp vụ" sheetId="5" state="visible" r:id="rId5"/>
    <sheet xmlns:r="http://schemas.openxmlformats.org/officeDocument/2006/relationships" name="YC chức năng" sheetId="6" state="visible" r:id="rId6"/>
    <sheet xmlns:r="http://schemas.openxmlformats.org/officeDocument/2006/relationships" name="YC phi chức năng" sheetId="7" state="visible" r:id="rId7"/>
    <sheet xmlns:r="http://schemas.openxmlformats.org/officeDocument/2006/relationships" name="Hướng dẫn sử dụng" sheetId="8" state="visible" r:id="rId8"/>
    <sheet xmlns:r="http://schemas.openxmlformats.org/officeDocument/2006/relationships" name="Kịch bản kiểm thử" sheetId="9" state="visible" r:id="rId9"/>
    <sheet xmlns:r="http://schemas.openxmlformats.org/officeDocument/2006/relationships" name="Bảo trì" sheetId="10" state="visible" r:id="rId10"/>
    <sheet xmlns:r="http://schemas.openxmlformats.org/officeDocument/2006/relationships" name="Tồn đọng" sheetId="11" state="visible" r:id="rId11"/>
  </sheets>
  <definedNames>
    <definedName name="_xlnm._FilterDatabase" localSheetId="2" hidden="1">'Mô hình dữ liệu'!$A$4:$E$49</definedName>
    <definedName name="_xlnm._FilterDatabase" localSheetId="4" hidden="1">'YC nghiệp vụ'!$A$4:$E$20</definedName>
    <definedName name="_xlnm._FilterDatabase" localSheetId="5" hidden="1">'YC chức năng'!$A$4:$E$26</definedName>
    <definedName name="_xlnm._FilterDatabase" localSheetId="6" hidden="1">'YC phi chức năng'!$A$4:$C$9</definedName>
    <definedName name="_xlnm._FilterDatabase" localSheetId="7" hidden="1">'Hướng dẫn sử dụng'!$A$4:$C$33</definedName>
    <definedName name="_xlnm._FilterDatabase" localSheetId="8" hidden="1">'Kịch bản kiểm thử'!$A$4:$J$29</definedName>
    <definedName name="_xlnm._FilterDatabase" localSheetId="9" hidden="1">'Bảo trì'!$A$4:$B$17</definedName>
    <definedName name="_xlnm._FilterDatabase" localSheetId="10" hidden="1">'Tồn đọng'!$A$4:$I$24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0695C"/>
      <sz val="15"/>
    </font>
    <font>
      <name val="Arial"/>
      <i val="1"/>
      <color rgb="00607D8B"/>
      <sz val="9"/>
    </font>
    <font>
      <name val="Arial"/>
      <b val="1"/>
      <color rgb="00004D40"/>
      <sz val="12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1565C0"/>
      <sz val="10"/>
      <u val="single"/>
    </font>
  </fonts>
  <fills count="5">
    <fill>
      <patternFill/>
    </fill>
    <fill>
      <patternFill patternType="gray125"/>
    </fill>
    <fill>
      <patternFill patternType="solid">
        <fgColor rgb="00E0F2F1"/>
      </patternFill>
    </fill>
    <fill>
      <patternFill patternType="solid">
        <fgColor rgb="0000695C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top"/>
    </xf>
    <xf numFmtId="164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vertical="top" wrapText="1"/>
    </xf>
    <xf numFmtId="0" fontId="5" fillId="4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28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0477500" cy="432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hi&#7871;t k&#7871;'!A1" TargetMode="External" Id="rId1"/><Relationship Type="http://schemas.openxmlformats.org/officeDocument/2006/relationships/hyperlink" Target="#'M&#244; h&#236;nh d&#7919; li&#7879;u'!A1" TargetMode="External" Id="rId2"/><Relationship Type="http://schemas.openxmlformats.org/officeDocument/2006/relationships/hyperlink" Target="#'S&#417; &#273;&#7891;'!A1" TargetMode="External" Id="rId3"/><Relationship Type="http://schemas.openxmlformats.org/officeDocument/2006/relationships/hyperlink" Target="#'YC nghi&#7879;p v&#7909;'!A1" TargetMode="External" Id="rId4"/><Relationship Type="http://schemas.openxmlformats.org/officeDocument/2006/relationships/hyperlink" Target="#'YC ch&#7913;c n&#259;ng'!A1" TargetMode="External" Id="rId5"/><Relationship Type="http://schemas.openxmlformats.org/officeDocument/2006/relationships/hyperlink" Target="#'YC phi ch&#7913;c n&#259;ng'!A1" TargetMode="External" Id="rId6"/><Relationship Type="http://schemas.openxmlformats.org/officeDocument/2006/relationships/hyperlink" Target="#'H&#432;&#7899;ng d&#7851;n s&#7917; d&#7909;ng'!A1" TargetMode="External" Id="rId7"/><Relationship Type="http://schemas.openxmlformats.org/officeDocument/2006/relationships/hyperlink" Target="#'K&#7883;ch b&#7843;n ki&#7875;m th&#7917;'!A1" TargetMode="External" Id="rId8"/><Relationship Type="http://schemas.openxmlformats.org/officeDocument/2006/relationships/hyperlink" Target="#'B&#7843;o tr&#236;'!A1" TargetMode="External" Id="rId9"/><Relationship Type="http://schemas.openxmlformats.org/officeDocument/2006/relationships/hyperlink" Target="#'T&#7891;n &#273;&#7885;ng'!A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30" customWidth="1" min="3" max="3"/>
  </cols>
  <sheetData>
    <row r="1">
      <c r="A1" s="1" t="inlineStr">
        <is>
          <t>TỔNG QUAN DỰ ÁN TH COLLABORATOR</t>
        </is>
      </c>
    </row>
    <row r="2">
      <c r="A2" s="2" t="inlineStr">
        <is>
          <t>TH Collaborator - Quản lý cộng tác viên &amp; hợp đồng · th_collaborator (16.0.1.3.0), th_collaborator_sign_vnpt (16.0.1.0.0) · Cập nhật 18/10/2026</t>
        </is>
      </c>
    </row>
    <row r="4">
      <c r="A4" s="3" t="inlineStr">
        <is>
          <t>Thông tin chung</t>
        </is>
      </c>
      <c r="B4" s="4" t="n"/>
      <c r="C4" s="4" t="n"/>
    </row>
    <row r="5">
      <c r="A5" s="5" t="inlineStr">
        <is>
          <t>Mục</t>
        </is>
      </c>
      <c r="B5" s="5" t="inlineStr">
        <is>
          <t>Giá trị</t>
        </is>
      </c>
      <c r="C5" s="5" t="inlineStr"/>
    </row>
    <row r="6">
      <c r="A6" s="6" t="inlineStr">
        <is>
          <t>Dự án</t>
        </is>
      </c>
      <c r="B6" s="6" t="inlineStr">
        <is>
          <t>TH Collaborator - Quản lý cộng tác viên &amp; hợp đồng</t>
        </is>
      </c>
      <c r="C6" s="6" t="inlineStr"/>
    </row>
    <row r="7">
      <c r="A7" s="6" t="inlineStr">
        <is>
          <t>Module</t>
        </is>
      </c>
      <c r="B7" s="6" t="inlineStr">
        <is>
          <t>th_collaborator (16.0.1.3.0), th_collaborator_sign_vnpt (16.0.1.0.0)</t>
        </is>
      </c>
      <c r="C7" s="6" t="inlineStr"/>
    </row>
    <row r="8">
      <c r="A8" s="6" t="inlineStr">
        <is>
          <t>Nền tảng</t>
        </is>
      </c>
      <c r="B8" s="6" t="inlineStr">
        <is>
          <t>Odoo 16 (Community/Enterprise), Python 3.10, PostgreSQL</t>
        </is>
      </c>
      <c r="C8" s="6" t="inlineStr"/>
    </row>
    <row r="9">
      <c r="A9" s="6" t="inlineStr">
        <is>
          <t>Thư mục code</t>
        </is>
      </c>
      <c r="B9" s="6" t="inlineStr">
        <is>
          <t>D:\work\odoo-16.0\Owl-odoo</t>
        </is>
      </c>
      <c r="C9" s="6" t="inlineStr"/>
    </row>
    <row r="10">
      <c r="A10" s="6" t="inlineStr">
        <is>
          <t>Tác giả</t>
        </is>
      </c>
      <c r="B10" s="6" t="inlineStr">
        <is>
          <t>Sonbn</t>
        </is>
      </c>
      <c r="C10" s="6" t="inlineStr"/>
    </row>
    <row r="11">
      <c r="A11" s="6" t="inlineStr">
        <is>
          <t>Cập nhật</t>
        </is>
      </c>
      <c r="B11" s="6" t="inlineStr">
        <is>
          <t>18/10/2026</t>
        </is>
      </c>
      <c r="C11" s="6" t="inlineStr"/>
    </row>
    <row r="13">
      <c r="A13" s="3" t="inlineStr">
        <is>
          <t>Số liệu (tự cập nhật theo các sheet)</t>
        </is>
      </c>
      <c r="B13" s="4" t="n"/>
      <c r="C13" s="4" t="n"/>
    </row>
    <row r="14">
      <c r="A14" s="5" t="inlineStr">
        <is>
          <t>Chỉ số</t>
        </is>
      </c>
      <c r="B14" s="5" t="inlineStr">
        <is>
          <t>Giá trị</t>
        </is>
      </c>
      <c r="C14" s="5" t="inlineStr">
        <is>
          <t>Cách tính</t>
        </is>
      </c>
    </row>
    <row r="15">
      <c r="A15" s="6" t="inlineStr">
        <is>
          <t>Yêu cầu nghiệp vụ</t>
        </is>
      </c>
      <c r="B15" s="7">
        <f>COUNTA('YC nghiệp vụ'!A5:A70)</f>
        <v/>
      </c>
      <c r="C15" s="6" t="inlineStr">
        <is>
          <t>Số dòng BR</t>
        </is>
      </c>
    </row>
    <row r="16">
      <c r="A16" s="6" t="inlineStr">
        <is>
          <t>Yêu cầu chức năng</t>
        </is>
      </c>
      <c r="B16" s="7">
        <f>COUNTA('YC chức năng'!A5:A56)</f>
        <v/>
      </c>
      <c r="C16" s="6" t="inlineStr">
        <is>
          <t>Số dòng FR</t>
        </is>
      </c>
    </row>
    <row r="17">
      <c r="A17" s="6" t="inlineStr">
        <is>
          <t xml:space="preserve">  - Hoàn thành</t>
        </is>
      </c>
      <c r="B17" s="7">
        <f>COUNTIF('YC chức năng'!E5:E56,"Hoàn thành*")</f>
        <v/>
      </c>
      <c r="C17" s="6" t="inlineStr">
        <is>
          <t>Trạng thái bắt đầu "Hoàn thành"</t>
        </is>
      </c>
    </row>
    <row r="18">
      <c r="A18" s="6" t="inlineStr">
        <is>
          <t>Kịch bản kiểm thử</t>
        </is>
      </c>
      <c r="B18" s="7">
        <f>COUNTA('Kịch bản kiểm thử'!A5:A79)</f>
        <v/>
      </c>
      <c r="C18" s="6" t="inlineStr"/>
    </row>
    <row r="19">
      <c r="A19" s="6" t="inlineStr">
        <is>
          <t xml:space="preserve">  - Đạt</t>
        </is>
      </c>
      <c r="B19" s="7">
        <f>COUNTIF('Kịch bản kiểm thử'!G5:G79,"Đạt*")</f>
        <v/>
      </c>
      <c r="C19" s="6" t="inlineStr">
        <is>
          <t>Gồm "Đạt (plugin giả)"</t>
        </is>
      </c>
    </row>
    <row r="20">
      <c r="A20" s="6" t="inlineStr">
        <is>
          <t xml:space="preserve">  - Không đạt</t>
        </is>
      </c>
      <c r="B20" s="7">
        <f>COUNTIF('Kịch bản kiểm thử'!G5:G79,"Không đạt")</f>
        <v/>
      </c>
      <c r="C20" s="6" t="inlineStr"/>
    </row>
    <row r="21">
      <c r="A21" s="6" t="inlineStr">
        <is>
          <t xml:space="preserve">  - Chưa test</t>
        </is>
      </c>
      <c r="B21" s="7">
        <f>COUNTIF('Kịch bản kiểm thử'!G5:G79,"Chưa test*")</f>
        <v/>
      </c>
      <c r="C21" s="6" t="inlineStr"/>
    </row>
    <row r="22">
      <c r="A22" s="6" t="inlineStr">
        <is>
          <t xml:space="preserve">  - Tỉ lệ đạt</t>
        </is>
      </c>
      <c r="B22" s="8">
        <f>IF(B18=0,0,B19/B18)</f>
        <v/>
      </c>
      <c r="C22" s="6" t="inlineStr">
        <is>
          <t>Đạt / tổng kịch bản</t>
        </is>
      </c>
    </row>
    <row r="23">
      <c r="A23" s="6" t="inlineStr">
        <is>
          <t>Vấn đề tồn đọng</t>
        </is>
      </c>
      <c r="B23" s="7">
        <f>COUNTA('Tồn đọng'!A5:A74)</f>
        <v/>
      </c>
      <c r="C23" s="6" t="inlineStr"/>
    </row>
    <row r="24">
      <c r="A24" s="6" t="inlineStr">
        <is>
          <t xml:space="preserve">  - Mức Cao</t>
        </is>
      </c>
      <c r="B24" s="7">
        <f>COUNTIF('Tồn đọng'!C5:C74,"Cao")</f>
        <v/>
      </c>
      <c r="C24" s="6" t="inlineStr"/>
    </row>
    <row r="25">
      <c r="A25" s="6" t="inlineStr">
        <is>
          <t xml:space="preserve">  - Mức Trung bình</t>
        </is>
      </c>
      <c r="B25" s="7">
        <f>COUNTIF('Tồn đọng'!C5:C74,"Trung bình")</f>
        <v/>
      </c>
      <c r="C25" s="6" t="inlineStr"/>
    </row>
    <row r="26">
      <c r="A26" s="6" t="inlineStr">
        <is>
          <t xml:space="preserve">  - Mức Thấp</t>
        </is>
      </c>
      <c r="B26" s="7">
        <f>COUNTIF('Tồn đọng'!C5:C74,"Thấp")</f>
        <v/>
      </c>
      <c r="C26" s="6" t="inlineStr"/>
    </row>
    <row r="27">
      <c r="A27" s="6" t="inlineStr">
        <is>
          <t xml:space="preserve">  - Còn mở</t>
        </is>
      </c>
      <c r="B27" s="7">
        <f>COUNTIF('Tồn đọng'!G5:G74,"Mở")+COUNTIF('Tồn đọng'!G5:G74,"Đang xử lý")</f>
        <v/>
      </c>
      <c r="C27" s="6" t="inlineStr">
        <is>
          <t>Mở + Đang xử lý</t>
        </is>
      </c>
    </row>
    <row r="29">
      <c r="A29" s="3" t="inlineStr">
        <is>
          <t>Danh mục sheet</t>
        </is>
      </c>
      <c r="B29" s="4" t="n"/>
      <c r="C29" s="4" t="n"/>
    </row>
    <row r="30">
      <c r="A30" s="5" t="inlineStr">
        <is>
          <t>Sheet</t>
        </is>
      </c>
      <c r="B30" s="5" t="inlineStr">
        <is>
          <t>Nội dung</t>
        </is>
      </c>
      <c r="C30" s="5" t="inlineStr"/>
    </row>
    <row r="31">
      <c r="A31" s="9" t="inlineStr">
        <is>
          <t>Thiết kế</t>
        </is>
      </c>
      <c r="B31" s="6" t="inlineStr">
        <is>
          <t>Kiến trúc, thành phần, route, bảo mật, mở rộng ký số</t>
        </is>
      </c>
      <c r="C31" s="6" t="inlineStr"/>
    </row>
    <row r="32">
      <c r="A32" s="9" t="inlineStr">
        <is>
          <t>Mô hình dữ liệu</t>
        </is>
      </c>
      <c r="B32" s="6" t="inlineStr">
        <is>
          <t>Model &amp; trường</t>
        </is>
      </c>
      <c r="C32" s="6" t="inlineStr"/>
    </row>
    <row r="33">
      <c r="A33" s="9" t="inlineStr">
        <is>
          <t>Sơ đồ</t>
        </is>
      </c>
      <c r="B33" s="6" t="inlineStr">
        <is>
          <t>Sơ đồ tổng quan + quy trình</t>
        </is>
      </c>
      <c r="C33" s="6" t="inlineStr"/>
    </row>
    <row r="34">
      <c r="A34" s="9" t="inlineStr">
        <is>
          <t>YC nghiệp vụ</t>
        </is>
      </c>
      <c r="B34" s="6" t="inlineStr">
        <is>
          <t>BR + truy vết FR</t>
        </is>
      </c>
      <c r="C34" s="6" t="inlineStr"/>
    </row>
    <row r="35">
      <c r="A35" s="9" t="inlineStr">
        <is>
          <t>YC chức năng</t>
        </is>
      </c>
      <c r="B35" s="6" t="inlineStr">
        <is>
          <t>FR + trạng thái</t>
        </is>
      </c>
      <c r="C35" s="6" t="inlineStr"/>
    </row>
    <row r="36">
      <c r="A36" s="9" t="inlineStr">
        <is>
          <t>YC phi chức năng</t>
        </is>
      </c>
      <c r="B36" s="6" t="inlineStr">
        <is>
          <t>NFR</t>
        </is>
      </c>
      <c r="C36" s="6" t="inlineStr"/>
    </row>
    <row r="37">
      <c r="A37" s="9" t="inlineStr">
        <is>
          <t>Hướng dẫn sử dụng</t>
        </is>
      </c>
      <c r="B37" s="6" t="inlineStr">
        <is>
          <t>Thao tác theo chức năng</t>
        </is>
      </c>
      <c r="C37" s="6" t="inlineStr"/>
    </row>
    <row r="38">
      <c r="A38" s="9" t="inlineStr">
        <is>
          <t>Kịch bản kiểm thử</t>
        </is>
      </c>
      <c r="B38" s="6" t="inlineStr">
        <is>
          <t>TC + kết quả (cập nhật được)</t>
        </is>
      </c>
      <c r="C38" s="6" t="inlineStr"/>
    </row>
    <row r="39">
      <c r="A39" s="9" t="inlineStr">
        <is>
          <t>Bảo trì</t>
        </is>
      </c>
      <c r="B39" s="6" t="inlineStr">
        <is>
          <t>Vận hành, cấu hình, xử lý lỗi</t>
        </is>
      </c>
      <c r="C39" s="6" t="inlineStr"/>
    </row>
    <row r="40">
      <c r="A40" s="9" t="inlineStr">
        <is>
          <t>Tồn đọng</t>
        </is>
      </c>
      <c r="B40" s="6" t="inlineStr">
        <is>
          <t>Vấn đề + đề xuất (cập nhật được)</t>
        </is>
      </c>
      <c r="C40" s="6" t="inlineStr"/>
    </row>
    <row r="42">
      <c r="A42" s="3" t="inlineStr">
        <is>
          <t>Các giai đoạn đã thực hiện</t>
        </is>
      </c>
      <c r="B42" s="4" t="n"/>
      <c r="C42" s="4" t="n"/>
    </row>
    <row r="43">
      <c r="A43" s="5" t="inlineStr">
        <is>
          <t>Giai đoạn</t>
        </is>
      </c>
      <c r="B43" s="5" t="inlineStr">
        <is>
          <t>Nội dung</t>
        </is>
      </c>
      <c r="C43" s="5" t="inlineStr"/>
    </row>
    <row r="44">
      <c r="A44" s="6" t="inlineStr">
        <is>
          <t>1</t>
        </is>
      </c>
      <c r="B44" s="6" t="inlineStr">
        <is>
          <t>Module CTV: thông tin, 2 kho hợp đồng, gửi mail, link upload công khai, upload/tải hàng loạt</t>
        </is>
      </c>
      <c r="C44" s="6" t="inlineStr"/>
    </row>
    <row r="45">
      <c r="A45" s="6" t="inlineStr">
        <is>
          <t>2</t>
        </is>
      </c>
      <c r="B45" s="6" t="inlineStr">
        <is>
          <t>Bổ sung rule: xác nhận gửi lại, chọn hình thức upload, PDF/ảnh, mail người phụ trách, lọc CTV của tôi, 1 quyền</t>
        </is>
      </c>
      <c r="C45" s="6" t="inlineStr"/>
    </row>
    <row r="46">
      <c r="A46" s="6" t="inlineStr">
        <is>
          <t>3</t>
        </is>
      </c>
      <c r="B46" s="6" t="inlineStr">
        <is>
          <t>Điều kiện gửi mail, icon, 2 nút tải ZIP 1 cấp thư mục, đặt tên SĐT_Tên, tên &amp; loại hợp đồng</t>
        </is>
      </c>
      <c r="C46" s="6" t="inlineStr"/>
    </row>
    <row r="47">
      <c r="A47" s="6" t="inlineStr">
        <is>
          <t>4</t>
        </is>
      </c>
      <c r="B47" s="6" t="inlineStr">
        <is>
          <t>Template PDF có ô form: đục lỗ tiếng Việt, preview, mẫu email, đính kèm hợp đồng</t>
        </is>
      </c>
      <c r="C47" s="6" t="inlineStr"/>
    </row>
    <row r="48">
      <c r="A48" s="6" t="inlineStr">
        <is>
          <t>5</t>
        </is>
      </c>
      <c r="B48" s="6" t="inlineStr">
        <is>
          <t>Cấu hình đục lỗ chọn trường; màn hình thiết kế vẽ ô trên PDF không có ô form</t>
        </is>
      </c>
      <c r="C48" s="6" t="inlineStr"/>
    </row>
    <row r="49">
      <c r="A49" s="6" t="inlineStr">
        <is>
          <t>6</t>
        </is>
      </c>
      <c r="B49" s="6" t="inlineStr">
        <is>
          <t>Nút Tạo hợp đồng lưu vào Hợp đồng công ty</t>
        </is>
      </c>
      <c r="C49" s="6" t="inlineStr"/>
    </row>
    <row r="50">
      <c r="A50" s="6" t="inlineStr">
        <is>
          <t>7</t>
        </is>
      </c>
      <c r="B50" s="6" t="inlineStr">
        <is>
          <t>Ký số bên A: khung đa nhà cung cấp + module VNPT-CA Plugin (USB Token), ký lẻ &amp; hàng loạt</t>
        </is>
      </c>
      <c r="C50" s="6" t="inlineStr"/>
    </row>
    <row r="52">
      <c r="A52" s="3" t="inlineStr">
        <is>
          <t>Chú thích</t>
        </is>
      </c>
      <c r="B52" s="4" t="n"/>
      <c r="C52" s="4" t="n"/>
    </row>
    <row r="53">
      <c r="A53" s="10" t="inlineStr">
        <is>
          <t>Ô nền vàng</t>
        </is>
      </c>
      <c r="B53" s="11" t="inlineStr">
        <is>
          <t>Cột cho phép cập nhật (trạng thái, người test, hạn xử lý...). Các ô khác là nội dung tài liệu.</t>
        </is>
      </c>
    </row>
  </sheetData>
  <hyperlinks>
    <hyperlink xmlns:r="http://schemas.openxmlformats.org/officeDocument/2006/relationships" ref="A31" r:id="rId1"/>
    <hyperlink xmlns:r="http://schemas.openxmlformats.org/officeDocument/2006/relationships" ref="A32" r:id="rId2"/>
    <hyperlink xmlns:r="http://schemas.openxmlformats.org/officeDocument/2006/relationships" ref="A33" r:id="rId3"/>
    <hyperlink xmlns:r="http://schemas.openxmlformats.org/officeDocument/2006/relationships" ref="A34" r:id="rId4"/>
    <hyperlink xmlns:r="http://schemas.openxmlformats.org/officeDocument/2006/relationships" ref="A35" r:id="rId5"/>
    <hyperlink xmlns:r="http://schemas.openxmlformats.org/officeDocument/2006/relationships" ref="A36" r:id="rId6"/>
    <hyperlink xmlns:r="http://schemas.openxmlformats.org/officeDocument/2006/relationships" ref="A37" r:id="rId7"/>
    <hyperlink xmlns:r="http://schemas.openxmlformats.org/officeDocument/2006/relationships" ref="A38" r:id="rId8"/>
    <hyperlink xmlns:r="http://schemas.openxmlformats.org/officeDocument/2006/relationships" ref="A39" r:id="rId9"/>
    <hyperlink xmlns:r="http://schemas.openxmlformats.org/officeDocument/2006/relationships" ref="A40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6" customWidth="1" min="3" max="3"/>
    <col width="70" customWidth="1" min="4" max="4"/>
  </cols>
  <sheetData>
    <row r="1">
      <c r="A1" s="1" t="inlineStr">
        <is>
          <t>01. THIẾT KẾ HỆ THỐNG</t>
        </is>
      </c>
    </row>
    <row r="2">
      <c r="A2" s="2" t="inlineStr">
        <is>
          <t>TH Collaborator - Quản lý cộng tác viên &amp; hợp đồng · th_collaborator (16.0.1.3.0), th_collaborator_sign_vnpt (16.0.1.0.0) · Cập nhật 18/10/2026</t>
        </is>
      </c>
    </row>
    <row r="4">
      <c r="A4" s="3" t="inlineStr">
        <is>
          <t>Kiến trúc 2 module</t>
        </is>
      </c>
      <c r="B4" s="4" t="n"/>
      <c r="C4" s="4" t="n"/>
      <c r="D4" s="4" t="n"/>
    </row>
    <row r="5">
      <c r="A5" s="5" t="inlineStr">
        <is>
          <t>Module</t>
        </is>
      </c>
      <c r="B5" s="5" t="inlineStr">
        <is>
          <t>Vai trò</t>
        </is>
      </c>
      <c r="C5" s="5" t="inlineStr">
        <is>
          <t>Phụ thuộc</t>
        </is>
      </c>
      <c r="D5" s="5" t="inlineStr">
        <is>
          <t>Ghi chú</t>
        </is>
      </c>
    </row>
    <row r="6">
      <c r="A6" s="6" t="inlineStr">
        <is>
          <t>th_collaborator</t>
        </is>
      </c>
      <c r="B6" s="6" t="inlineStr">
        <is>
          <t>Lõi nghiệp vụ + khung ký số độc lập nhà cung cấp</t>
        </is>
      </c>
      <c r="C6" s="6" t="inlineStr">
        <is>
          <t>mail</t>
        </is>
      </c>
      <c r="D6" s="6" t="inlineStr">
        <is>
          <t>Version 16.0.1.3.0</t>
        </is>
      </c>
    </row>
    <row r="7">
      <c r="A7" s="6" t="inlineStr">
        <is>
          <t>th_collaborator_sign_vnpt</t>
        </is>
      </c>
      <c r="B7" s="6" t="inlineStr">
        <is>
          <t>Nhà cung cấp ký số VNPT-CA Plugin (USB Token)</t>
        </is>
      </c>
      <c r="C7" s="6" t="inlineStr">
        <is>
          <t>th_collaborator</t>
        </is>
      </c>
      <c r="D7" s="6" t="inlineStr">
        <is>
          <t>Version 16.0.1.0.0</t>
        </is>
      </c>
    </row>
    <row r="9">
      <c r="A9" s="3" t="inlineStr">
        <is>
          <t>Thành phần</t>
        </is>
      </c>
      <c r="B9" s="4" t="n"/>
      <c r="C9" s="4" t="n"/>
      <c r="D9" s="4" t="n"/>
    </row>
    <row r="10">
      <c r="A10" s="5" t="inlineStr">
        <is>
          <t>Thành phần</t>
        </is>
      </c>
      <c r="B10" s="5" t="inlineStr">
        <is>
          <t>Loại</t>
        </is>
      </c>
      <c r="C10" s="5" t="inlineStr">
        <is>
          <t>File chính</t>
        </is>
      </c>
      <c r="D10" s="5" t="inlineStr">
        <is>
          <t>Trách nhiệm</t>
        </is>
      </c>
    </row>
    <row r="11">
      <c r="A11" s="6" t="inlineStr">
        <is>
          <t>Hồ sơ CTV</t>
        </is>
      </c>
      <c r="B11" s="6" t="inlineStr">
        <is>
          <t>Model</t>
        </is>
      </c>
      <c r="C11" s="6" t="inlineStr">
        <is>
          <t>models/th_collaborator_profile.py</t>
        </is>
      </c>
      <c r="D11" s="6" t="inlineStr">
        <is>
          <t>Lưu thông tin CTV, 2 kho hợp đồng, gửi mail, tạo hợp đồng từ template, ký số bên A, tải ZIP</t>
        </is>
      </c>
    </row>
    <row r="12">
      <c r="A12" s="6" t="inlineStr">
        <is>
          <t>Loại hợp đồng</t>
        </is>
      </c>
      <c r="B12" s="6" t="inlineStr">
        <is>
          <t>Model</t>
        </is>
      </c>
      <c r="C12" s="6" t="inlineStr">
        <is>
          <t>models/th_collaborator_contract_type.py</t>
        </is>
      </c>
      <c r="D12" s="6" t="inlineStr">
        <is>
          <t>Danh mục loại hợp đồng dạng tag có màu, cấu hình được</t>
        </is>
      </c>
    </row>
    <row r="13">
      <c r="A13" s="6" t="inlineStr">
        <is>
          <t>Template hợp đồng</t>
        </is>
      </c>
      <c r="B13" s="6" t="inlineStr">
        <is>
          <t>Model</t>
        </is>
      </c>
      <c r="C13" s="6" t="inlineStr">
        <is>
          <t>models/th_collaborator_contract_template.py</t>
        </is>
      </c>
      <c r="D13" s="6" t="inlineStr">
        <is>
          <t>Lưu PDF mẫu, đọc ô form, đục lỗ (vẽ chữ Unicode + flatten), dữ liệu màn hình thiết kế, ô chữ ký</t>
        </is>
      </c>
    </row>
    <row r="14">
      <c r="A14" s="6" t="inlineStr">
        <is>
          <t>Dòng cấu hình đục lỗ</t>
        </is>
      </c>
      <c r="B14" s="6" t="inlineStr">
        <is>
          <t>Model</t>
        </is>
      </c>
      <c r="C14" s="6" t="inlineStr">
        <is>
          <t>models/th_collaborator_contract_template_line.py</t>
        </is>
      </c>
      <c r="D14" s="6" t="inlineStr">
        <is>
          <t>Map ô form/ô vẽ tay -&gt; trường CTV; toạ độ ô vẽ tay; ô chữ ký bên A; định dạng giá trị</t>
        </is>
      </c>
    </row>
    <row r="15">
      <c r="A15" s="6" t="inlineStr">
        <is>
          <t>Cấu hình ký số</t>
        </is>
      </c>
      <c r="B15" s="6" t="inlineStr">
        <is>
          <t>Model</t>
        </is>
      </c>
      <c r="C15" s="6" t="inlineStr">
        <is>
          <t>models/th_collaborator_sign_config.py</t>
        </is>
      </c>
      <c r="D15" s="6" t="inlineStr">
        <is>
          <t>Khung ký số độc lập nhà cung cấp: kiểu hiển thị, ảnh, tuỳ chọn; hook cho module nhà cung cấp</t>
        </is>
      </c>
    </row>
    <row r="16">
      <c r="A16" s="6" t="inlineStr">
        <is>
          <t>Wizard tải hàng loạt</t>
        </is>
      </c>
      <c r="B16" s="6" t="inlineStr">
        <is>
          <t>TransientModel</t>
        </is>
      </c>
      <c r="C16" s="6" t="inlineStr">
        <is>
          <t>wizard/th_collaborator_upload_wizard.py</t>
        </is>
      </c>
      <c r="D16" s="6" t="inlineStr">
        <is>
          <t>Upload nhiều file / ZIP, tự map file vào CTV theo SĐT trong tên file/thư mục</t>
        </is>
      </c>
    </row>
    <row r="17">
      <c r="A17" s="6" t="inlineStr">
        <is>
          <t>Controller</t>
        </is>
      </c>
      <c r="B17" s="6" t="inlineStr">
        <is>
          <t>HTTP</t>
        </is>
      </c>
      <c r="C17" s="6" t="inlineStr">
        <is>
          <t>controllers/th_main.py</t>
        </is>
      </c>
      <c r="D17" s="6" t="inlineStr">
        <is>
          <t>Trang upload công khai cho CTV, preview PDF đục lỗ, tải ZIP hợp đồng</t>
        </is>
      </c>
    </row>
    <row r="18">
      <c r="A18" s="6" t="inlineStr">
        <is>
          <t>Màn hình thiết kế ô đục lỗ</t>
        </is>
      </c>
      <c r="B18" s="6" t="inlineStr">
        <is>
          <t>OWL client action</t>
        </is>
      </c>
      <c r="C18" s="6" t="inlineStr">
        <is>
          <t>static/src/js/th_contract_template_designer.js</t>
        </is>
      </c>
      <c r="D18" s="6" t="inlineStr">
        <is>
          <t>Render PDF bằng pdf.js, vẽ/di chuyển/đổi kích thước ô, chọn trường, ô chữ ký</t>
        </is>
      </c>
    </row>
    <row r="19">
      <c r="A19" s="6" t="inlineStr">
        <is>
          <t>Action ký số</t>
        </is>
      </c>
      <c r="B19" s="6" t="inlineStr">
        <is>
          <t>OWL client action (function)</t>
        </is>
      </c>
      <c r="C19" s="6" t="inlineStr">
        <is>
          <t>static/src/js/th_contract_sign_action.js</t>
        </is>
      </c>
      <c r="D19" s="6" t="inlineStr">
        <is>
          <t>Registry nhà cung cấp ký số kiểu client; gom hợp đồng theo cấu hình, gọi provider, lưu kết quả</t>
        </is>
      </c>
    </row>
    <row r="20">
      <c r="A20" s="6" t="inlineStr">
        <is>
          <t>Nhà cung cấp VNPT-CA Plugin</t>
        </is>
      </c>
      <c r="B20" s="6" t="inlineStr">
        <is>
          <t>Module riêng</t>
        </is>
      </c>
      <c r="C20" s="6" t="inlineStr">
        <is>
          <t>th_collaborator_sign_vnpt/*</t>
        </is>
      </c>
      <c r="D20" s="6" t="inlineStr">
        <is>
          <t>Selection_add th_provider, license key, map cấu hình -&gt; PdfSigner, gọi vnpt-plugin.js (wss://localhost)</t>
        </is>
      </c>
    </row>
    <row r="21">
      <c r="A21" s="6" t="inlineStr">
        <is>
          <t>Mẫu email</t>
        </is>
      </c>
      <c r="B21" s="6" t="inlineStr">
        <is>
          <t>Data</t>
        </is>
      </c>
      <c r="C21" s="6" t="inlineStr">
        <is>
          <t>data/th_collaborator_mail_template_data.xml</t>
        </is>
      </c>
      <c r="D21" s="6" t="inlineStr">
        <is>
          <t>Mail mời CTV: "Xin chào {tên}", link upload; người gửi = người phụ trách</t>
        </is>
      </c>
    </row>
    <row r="22">
      <c r="A22" s="6" t="inlineStr">
        <is>
          <t>Phân quyền</t>
        </is>
      </c>
      <c r="B22" s="6" t="inlineStr">
        <is>
          <t>Security</t>
        </is>
      </c>
      <c r="C22" s="6" t="inlineStr">
        <is>
          <t>security/*</t>
        </is>
      </c>
      <c r="D22" s="6" t="inlineStr">
        <is>
          <t>1 role "Nhân viên quản lý CTV" -&gt; 1 access group giữ ACL</t>
        </is>
      </c>
    </row>
    <row r="24">
      <c r="A24" s="3" t="inlineStr">
        <is>
          <t>Giao tiếp HTTP</t>
        </is>
      </c>
      <c r="B24" s="4" t="n"/>
      <c r="C24" s="4" t="n"/>
      <c r="D24" s="4" t="n"/>
    </row>
    <row r="25">
      <c r="A25" s="5" t="inlineStr">
        <is>
          <t>Route</t>
        </is>
      </c>
      <c r="B25" s="5" t="inlineStr">
        <is>
          <t>Auth</t>
        </is>
      </c>
      <c r="C25" s="5" t="inlineStr">
        <is>
          <t>Method</t>
        </is>
      </c>
      <c r="D25" s="5" t="inlineStr">
        <is>
          <t>Mô tả</t>
        </is>
      </c>
    </row>
    <row r="26">
      <c r="A26" s="6" t="inlineStr">
        <is>
          <t>/th_collaborator/upload/&lt;token&gt;</t>
        </is>
      </c>
      <c r="B26" s="6" t="inlineStr">
        <is>
          <t>public</t>
        </is>
      </c>
      <c r="C26" s="6" t="inlineStr">
        <is>
          <t>GET</t>
        </is>
      </c>
      <c r="D26" s="6" t="inlineStr">
        <is>
          <t>Form upload hợp đồng cho CTV (không đăng nhập)</t>
        </is>
      </c>
    </row>
    <row r="27">
      <c r="A27" s="6" t="inlineStr">
        <is>
          <t>/th_collaborator/upload/&lt;token&gt;/submit</t>
        </is>
      </c>
      <c r="B27" s="6" t="inlineStr">
        <is>
          <t>public (CSRF)</t>
        </is>
      </c>
      <c r="C27" s="6" t="inlineStr">
        <is>
          <t>POST</t>
        </is>
      </c>
      <c r="D27" s="6" t="inlineStr">
        <is>
          <t>Nhận file: xác thực token + SĐT, ≤10 file, ≤20MB/file, chỉ PDF/ảnh (kiểm tra nội dung)</t>
        </is>
      </c>
    </row>
    <row r="28">
      <c r="A28" s="6" t="inlineStr">
        <is>
          <t>/th_collaborator/contract/preview/&lt;profile|template&gt;/&lt;id&gt;</t>
        </is>
      </c>
      <c r="B28" s="6" t="inlineStr">
        <is>
          <t>user</t>
        </is>
      </c>
      <c r="C28" s="6" t="inlineStr">
        <is>
          <t>GET</t>
        </is>
      </c>
      <c r="D28" s="6" t="inlineStr">
        <is>
          <t>Trả PDF đục lỗ inline, không lưu file (CTV: dữ liệu thật; template: nhãn trường)</t>
        </is>
      </c>
    </row>
    <row r="29">
      <c r="A29" s="6" t="inlineStr">
        <is>
          <t>/th_collaborator/download_zip?contract_type=&amp;ids=</t>
        </is>
      </c>
      <c r="B29" s="6" t="inlineStr">
        <is>
          <t>user</t>
        </is>
      </c>
      <c r="C29" s="6" t="inlineStr">
        <is>
          <t>GET</t>
        </is>
      </c>
      <c r="D29" s="6" t="inlineStr">
        <is>
          <t>ZIP hợp đồng công ty hoặc CTV, mỗi CTV 1 thư mục SĐT_Tên, stream qua file tạm</t>
        </is>
      </c>
    </row>
    <row r="31">
      <c r="A31" s="3" t="inlineStr">
        <is>
          <t>Bảo mật &amp; phân quyền</t>
        </is>
      </c>
      <c r="B31" s="4" t="n"/>
      <c r="C31" s="4" t="n"/>
      <c r="D31" s="4" t="n"/>
    </row>
    <row r="32">
      <c r="A32" s="5" t="inlineStr">
        <is>
          <t>Hạng mục</t>
        </is>
      </c>
      <c r="B32" s="5" t="inlineStr">
        <is>
          <t>Thiết kế</t>
        </is>
      </c>
      <c r="C32" s="5" t="inlineStr">
        <is>
          <t>Ghi chú</t>
        </is>
      </c>
      <c r="D32" s="5" t="inlineStr"/>
    </row>
    <row r="33">
      <c r="A33" s="6" t="inlineStr">
        <is>
          <t>Role group</t>
        </is>
      </c>
      <c r="B33" s="6" t="inlineStr">
        <is>
          <t>th_role_collaborator_officer – "Nhân viên quản lý CTV"</t>
        </is>
      </c>
      <c r="C33" s="6" t="inlineStr">
        <is>
          <t>Gán cho user; không ACL; kế thừa access group</t>
        </is>
      </c>
      <c r="D33" s="6" t="inlineStr"/>
    </row>
    <row r="34">
      <c r="A34" s="6" t="inlineStr">
        <is>
          <t>Access group</t>
        </is>
      </c>
      <c r="B34" s="6" t="inlineStr">
        <is>
          <t>th_access_collaborator_user (ẩn)</t>
        </is>
      </c>
      <c r="C34" s="6" t="inlineStr">
        <is>
          <t>Giữ toàn bộ ACL (đọc/ghi/tạo/xoá) cho 6 model</t>
        </is>
      </c>
      <c r="D34" s="6" t="inlineStr"/>
    </row>
    <row r="35">
      <c r="A35" s="6" t="inlineStr">
        <is>
          <t>Menu</t>
        </is>
      </c>
      <c r="B35" s="6" t="inlineStr">
        <is>
          <t>Gắn group th_access_collaborator_user</t>
        </is>
      </c>
      <c r="C35" s="6" t="inlineStr">
        <is>
          <t>Ẩn module với user không có quyền</t>
        </is>
      </c>
      <c r="D35" s="6" t="inlineStr"/>
    </row>
    <row r="36">
      <c r="A36" s="6" t="inlineStr">
        <is>
          <t>Trường M2x</t>
        </is>
      </c>
      <c r="B36" s="6" t="inlineStr">
        <is>
          <t>no_create / no_create_edit</t>
        </is>
      </c>
      <c r="C36" s="6" t="inlineStr">
        <is>
          <t>Không tạo nhanh từ ô chọn (theo quy tắc đội)</t>
        </is>
      </c>
      <c r="D36" s="6" t="inlineStr"/>
    </row>
    <row r="37">
      <c r="A37" s="6" t="inlineStr">
        <is>
          <t>sudo()</t>
        </is>
      </c>
      <c r="B37" s="6" t="inlineStr">
        <is>
          <t>Chỉ 2 chỗ, có comment</t>
        </is>
      </c>
      <c r="C37" s="6" t="inlineStr">
        <is>
          <t>Tra CTV theo token ở trang công khai; đọc ir.config_parameter font</t>
        </is>
      </c>
      <c r="D37" s="6" t="inlineStr"/>
    </row>
    <row r="38">
      <c r="A38" s="6" t="inlineStr">
        <is>
          <t>Trang công khai</t>
        </is>
      </c>
      <c r="B38" s="6" t="inlineStr">
        <is>
          <t>Token 32 byte + SĐT</t>
        </is>
      </c>
      <c r="C38" s="6" t="inlineStr">
        <is>
          <t>Phải khớp cả 2; CSRF; kiểm tra định dạng &amp; dung lượng</t>
        </is>
      </c>
      <c r="D38" s="6" t="inlineStr"/>
    </row>
    <row r="39">
      <c r="A39" s="6" t="inlineStr">
        <is>
          <t>ir.attachment</t>
        </is>
      </c>
      <c r="B39" s="6" t="inlineStr">
        <is>
          <t>res_model/res_id = CTV</t>
        </is>
      </c>
      <c r="C39" s="6" t="inlineStr">
        <is>
          <t>Quyền xem file đi theo quyền bản ghi CTV</t>
        </is>
      </c>
      <c r="D39" s="6" t="inlineStr"/>
    </row>
    <row r="41">
      <c r="A41" s="3" t="inlineStr">
        <is>
          <t>Mở rộng nhà cung cấp ký số</t>
        </is>
      </c>
      <c r="B41" s="4" t="n"/>
      <c r="C41" s="4" t="n"/>
      <c r="D41" s="4" t="n"/>
    </row>
    <row r="42">
      <c r="A42" s="5" t="inlineStr">
        <is>
          <t>Bước</t>
        </is>
      </c>
      <c r="B42" s="5" t="inlineStr">
        <is>
          <t>Nội dung</t>
        </is>
      </c>
      <c r="C42" s="5" t="inlineStr"/>
      <c r="D42" s="5" t="inlineStr"/>
    </row>
    <row r="43">
      <c r="A43" s="6" t="n">
        <v>1</v>
      </c>
      <c r="B43" s="6" t="inlineStr">
        <is>
          <t>Tạo module mới th_collaborator_sign_&lt;tên&gt;, depends ["th_collaborator"].</t>
        </is>
      </c>
      <c r="C43" s="12" t="n"/>
      <c r="D43" s="13" t="n"/>
    </row>
    <row r="44">
      <c r="A44" s="6" t="n">
        <v>2</v>
      </c>
      <c r="B44" s="6" t="inlineStr">
        <is>
          <t>Kế thừa th.collaborator.sign.config: th_provider = fields.Selection(selection_add=[("&lt;mã&gt;", "&lt;Tên&gt;")], ondelete={"&lt;mã&gt;": "set null"}) + các trường cấu hình riêng.</t>
        </is>
      </c>
      <c r="C44" s="12" t="n"/>
      <c r="D44" s="13" t="n"/>
    </row>
    <row r="45">
      <c r="A45" s="6" t="n">
        <v>3</v>
      </c>
      <c r="B45" s="6" t="inlineStr">
        <is>
          <t>Override _get_provider_sign_mode(): trả "client" (ký trên trình duyệt qua plugin/USB Token) hoặc "server" (ký qua API).</t>
        </is>
      </c>
      <c r="C45" s="12" t="n"/>
      <c r="D45" s="13" t="n"/>
    </row>
    <row r="46">
      <c r="A46" s="6" t="n">
        <v>4</v>
      </c>
      <c r="B46" s="6" t="inlineStr">
        <is>
          <t>Kiểu client: override _get_client_sign_options() để thêm tuỳ chọn riêng; viết JS đăng ký signProviderRegistry.add("&lt;mã&gt;", { async sign(env, items, options) {...} }) trả [{signed_pdf_base64, cert_base64} | {error}].</t>
        </is>
      </c>
      <c r="C46" s="12" t="n"/>
      <c r="D46" s="13" t="n"/>
    </row>
    <row r="47">
      <c r="A47" s="6" t="n">
        <v>5</v>
      </c>
      <c r="B47" s="6" t="inlineStr">
        <is>
          <t>Kiểu server: override _sign_pdf_server(pdf_data, sign_box, page_count) trả {"signed_pdf": bytes, "cert_base64": str}.</t>
        </is>
      </c>
      <c r="C47" s="12" t="n"/>
      <c r="D47" s="13" t="n"/>
    </row>
    <row r="48">
      <c r="A48" s="6" t="n">
        <v>6</v>
      </c>
      <c r="B48" s="6" t="inlineStr">
        <is>
          <t>Kế thừa form th_collaborator_sign_config_form_view để hiện trường cấu hình riêng. Không cần sửa th_collaborator.</t>
        </is>
      </c>
      <c r="C48" s="12" t="n"/>
      <c r="D48" s="13" t="n"/>
    </row>
  </sheetData>
  <mergeCells count="6">
    <mergeCell ref="B45:D45"/>
    <mergeCell ref="B46:D46"/>
    <mergeCell ref="B44:D44"/>
    <mergeCell ref="B43:D43"/>
    <mergeCell ref="B47:D47"/>
    <mergeCell ref="B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44" customWidth="1" min="3" max="3"/>
    <col width="30" customWidth="1" min="4" max="4"/>
    <col width="60" customWidth="1" min="5" max="5"/>
  </cols>
  <sheetData>
    <row r="1">
      <c r="A1" s="1" t="inlineStr">
        <is>
          <t>01b. MÔ HÌNH DỮ LIỆU</t>
        </is>
      </c>
    </row>
    <row r="2">
      <c r="A2" s="2" t="inlineStr">
        <is>
          <t>TH Collaborator - Quản lý cộng tác viên &amp; hợp đồng · th_collaborator (16.0.1.3.0), th_collaborator_sign_vnpt (16.0.1.0.0) · Cập nhật 18/10/2026</t>
        </is>
      </c>
    </row>
    <row r="4">
      <c r="A4" s="5" t="inlineStr">
        <is>
          <t>Model</t>
        </is>
      </c>
      <c r="B4" s="5" t="inlineStr">
        <is>
          <t>Mô tả model</t>
        </is>
      </c>
      <c r="C4" s="5" t="inlineStr">
        <is>
          <t>Trường</t>
        </is>
      </c>
      <c r="D4" s="5" t="inlineStr">
        <is>
          <t>Kiểu</t>
        </is>
      </c>
      <c r="E4" s="5" t="inlineStr">
        <is>
          <t>Ý nghĩa</t>
        </is>
      </c>
    </row>
    <row r="5">
      <c r="A5" s="6" t="inlineStr">
        <is>
          <t>th.collaborator.profile</t>
        </is>
      </c>
      <c r="B5" s="6" t="inlineStr">
        <is>
          <t>Hồ sơ cộng tác viên (kế thừa mail.thread, mail.activity.mixin)</t>
        </is>
      </c>
      <c r="C5" s="6" t="inlineStr">
        <is>
          <t>name</t>
        </is>
      </c>
      <c r="D5" s="6" t="inlineStr">
        <is>
          <t>Char</t>
        </is>
      </c>
      <c r="E5" s="6" t="inlineStr">
        <is>
          <t>Họ và tên</t>
        </is>
      </c>
    </row>
    <row r="6">
      <c r="A6" s="6" t="inlineStr">
        <is>
          <t>th.collaborator.profile</t>
        </is>
      </c>
      <c r="B6" s="6" t="inlineStr">
        <is>
          <t>Hồ sơ cộng tác viên (kế thừa mail.thread, mail.activity.mixin)</t>
        </is>
      </c>
      <c r="C6" s="6" t="inlineStr">
        <is>
          <t>th_email</t>
        </is>
      </c>
      <c r="D6" s="6" t="inlineStr">
        <is>
          <t>Char</t>
        </is>
      </c>
      <c r="E6" s="6" t="inlineStr">
        <is>
          <t>Email CTV (kiểm tra định dạng)</t>
        </is>
      </c>
    </row>
    <row r="7">
      <c r="A7" s="6" t="inlineStr">
        <is>
          <t>th.collaborator.profile</t>
        </is>
      </c>
      <c r="B7" s="6" t="inlineStr">
        <is>
          <t>Hồ sơ cộng tác viên (kế thừa mail.thread, mail.activity.mixin)</t>
        </is>
      </c>
      <c r="C7" s="6" t="inlineStr">
        <is>
          <t>th_phone</t>
        </is>
      </c>
      <c r="D7" s="6" t="inlineStr">
        <is>
          <t>Char</t>
        </is>
      </c>
      <c r="E7" s="6" t="inlineStr">
        <is>
          <t>Số điện thoại</t>
        </is>
      </c>
    </row>
    <row r="8">
      <c r="A8" s="6" t="inlineStr">
        <is>
          <t>th.collaborator.profile</t>
        </is>
      </c>
      <c r="B8" s="6" t="inlineStr">
        <is>
          <t>Hồ sơ cộng tác viên (kế thừa mail.thread, mail.activity.mixin)</t>
        </is>
      </c>
      <c r="C8" s="6" t="inlineStr">
        <is>
          <t>th_phone_normalized</t>
        </is>
      </c>
      <c r="D8" s="6" t="inlineStr">
        <is>
          <t>Char (compute, store, unique)</t>
        </is>
      </c>
      <c r="E8" s="6" t="inlineStr">
        <is>
          <t>SĐT chuẩn hoá 0xxxxxxxxx – khoá map file/xác thực</t>
        </is>
      </c>
    </row>
    <row r="9">
      <c r="A9" s="6" t="inlineStr">
        <is>
          <t>th.collaborator.profile</t>
        </is>
      </c>
      <c r="B9" s="6" t="inlineStr">
        <is>
          <t>Hồ sơ cộng tác viên (kế thừa mail.thread, mail.activity.mixin)</t>
        </is>
      </c>
      <c r="C9" s="6" t="inlineStr">
        <is>
          <t>user_id</t>
        </is>
      </c>
      <c r="D9" s="6" t="inlineStr">
        <is>
          <t>Many2one res.users</t>
        </is>
      </c>
      <c r="E9" s="6" t="inlineStr">
        <is>
          <t>Người phụ trách (mặc định người tạo) – email gửi đi</t>
        </is>
      </c>
    </row>
    <row r="10">
      <c r="A10" s="6" t="inlineStr">
        <is>
          <t>th.collaborator.profile</t>
        </is>
      </c>
      <c r="B10" s="6" t="inlineStr">
        <is>
          <t>Hồ sơ cộng tác viên (kế thừa mail.thread, mail.activity.mixin)</t>
        </is>
      </c>
      <c r="C10" s="6" t="inlineStr">
        <is>
          <t>state</t>
        </is>
      </c>
      <c r="D10" s="6" t="inlineStr">
        <is>
          <t>Selection</t>
        </is>
      </c>
      <c r="E10" s="6" t="inlineStr">
        <is>
          <t>Mới / Đã gửi mail / CTV đã tải hợp đồng</t>
        </is>
      </c>
    </row>
    <row r="11">
      <c r="A11" s="6" t="inlineStr">
        <is>
          <t>th.collaborator.profile</t>
        </is>
      </c>
      <c r="B11" s="6" t="inlineStr">
        <is>
          <t>Hồ sơ cộng tác viên (kế thừa mail.thread, mail.activity.mixin)</t>
        </is>
      </c>
      <c r="C11" s="6" t="inlineStr">
        <is>
          <t>th_contract_name</t>
        </is>
      </c>
      <c r="D11" s="6" t="inlineStr">
        <is>
          <t>Char</t>
        </is>
      </c>
      <c r="E11" s="6" t="inlineStr">
        <is>
          <t>Tên hợp đồng</t>
        </is>
      </c>
    </row>
    <row r="12">
      <c r="A12" s="6" t="inlineStr">
        <is>
          <t>th.collaborator.profile</t>
        </is>
      </c>
      <c r="B12" s="6" t="inlineStr">
        <is>
          <t>Hồ sơ cộng tác viên (kế thừa mail.thread, mail.activity.mixin)</t>
        </is>
      </c>
      <c r="C12" s="6" t="inlineStr">
        <is>
          <t>th_contract_type_ids</t>
        </is>
      </c>
      <c r="D12" s="6" t="inlineStr">
        <is>
          <t>Many2many</t>
        </is>
      </c>
      <c r="E12" s="6" t="inlineStr">
        <is>
          <t>Loại hợp đồng (tag)</t>
        </is>
      </c>
    </row>
    <row r="13">
      <c r="A13" s="6" t="inlineStr">
        <is>
          <t>th.collaborator.profile</t>
        </is>
      </c>
      <c r="B13" s="6" t="inlineStr">
        <is>
          <t>Hồ sơ cộng tác viên (kế thừa mail.thread, mail.activity.mixin)</t>
        </is>
      </c>
      <c r="C13" s="6" t="inlineStr">
        <is>
          <t>th_company_attachment_ids</t>
        </is>
      </c>
      <c r="D13" s="6" t="inlineStr">
        <is>
          <t>Many2many ir.attachment</t>
        </is>
      </c>
      <c r="E13" s="6" t="inlineStr">
        <is>
          <t>Hợp đồng công ty (gửi kèm mail)</t>
        </is>
      </c>
    </row>
    <row r="14">
      <c r="A14" s="6" t="inlineStr">
        <is>
          <t>th.collaborator.profile</t>
        </is>
      </c>
      <c r="B14" s="6" t="inlineStr">
        <is>
          <t>Hồ sơ cộng tác viên (kế thừa mail.thread, mail.activity.mixin)</t>
        </is>
      </c>
      <c r="C14" s="6" t="inlineStr">
        <is>
          <t>th_self_attachment_ids</t>
        </is>
      </c>
      <c r="D14" s="6" t="inlineStr">
        <is>
          <t>Many2many ir.attachment</t>
        </is>
      </c>
      <c r="E14" s="6" t="inlineStr">
        <is>
          <t>Hợp đồng CTV tự tải lên</t>
        </is>
      </c>
    </row>
    <row r="15">
      <c r="A15" s="6" t="inlineStr">
        <is>
          <t>th.collaborator.profile</t>
        </is>
      </c>
      <c r="B15" s="6" t="inlineStr">
        <is>
          <t>Hồ sơ cộng tác viên (kế thừa mail.thread, mail.activity.mixin)</t>
        </is>
      </c>
      <c r="C15" s="6" t="inlineStr">
        <is>
          <t>th_access_token</t>
        </is>
      </c>
      <c r="D15" s="6" t="inlineStr">
        <is>
          <t>Char (unique)</t>
        </is>
      </c>
      <c r="E15" s="6" t="inlineStr">
        <is>
          <t>Token ngẫu nhiên của link upload công khai</t>
        </is>
      </c>
    </row>
    <row r="16">
      <c r="A16" s="6" t="inlineStr">
        <is>
          <t>th.collaborator.profile</t>
        </is>
      </c>
      <c r="B16" s="6" t="inlineStr">
        <is>
          <t>Hồ sơ cộng tác viên (kế thừa mail.thread, mail.activity.mixin)</t>
        </is>
      </c>
      <c r="C16" s="6" t="inlineStr">
        <is>
          <t>th_upload_url</t>
        </is>
      </c>
      <c r="D16" s="6" t="inlineStr">
        <is>
          <t>Char (compute)</t>
        </is>
      </c>
      <c r="E16" s="6" t="inlineStr">
        <is>
          <t>Link upload gửi trong mail</t>
        </is>
      </c>
    </row>
    <row r="17">
      <c r="A17" s="6" t="inlineStr">
        <is>
          <t>th.collaborator.profile</t>
        </is>
      </c>
      <c r="B17" s="6" t="inlineStr">
        <is>
          <t>Hồ sơ cộng tác viên (kế thừa mail.thread, mail.activity.mixin)</t>
        </is>
      </c>
      <c r="C17" s="6" t="inlineStr">
        <is>
          <t>th_mail_sent_date / th_last_upload_date</t>
        </is>
      </c>
      <c r="D17" s="6" t="inlineStr">
        <is>
          <t>Datetime</t>
        </is>
      </c>
      <c r="E17" s="6" t="inlineStr">
        <is>
          <t>Ngày gửi mail / ngày CTV tải lên</t>
        </is>
      </c>
    </row>
    <row r="18">
      <c r="A18" s="6" t="inlineStr">
        <is>
          <t>th.collaborator.profile</t>
        </is>
      </c>
      <c r="B18" s="6" t="inlineStr">
        <is>
          <t>Hồ sơ cộng tác viên (kế thừa mail.thread, mail.activity.mixin)</t>
        </is>
      </c>
      <c r="C18" s="6" t="inlineStr">
        <is>
          <t>th_contract_template_id</t>
        </is>
      </c>
      <c r="D18" s="6" t="inlineStr">
        <is>
          <t>Many2one</t>
        </is>
      </c>
      <c r="E18" s="6" t="inlineStr">
        <is>
          <t>Template hợp đồng dùng để đục lỗ</t>
        </is>
      </c>
    </row>
    <row r="19">
      <c r="A19" s="6" t="inlineStr">
        <is>
          <t>th.collaborator.profile</t>
        </is>
      </c>
      <c r="B19" s="6" t="inlineStr">
        <is>
          <t>Hồ sơ cộng tác viên (kế thừa mail.thread, mail.activity.mixin)</t>
        </is>
      </c>
      <c r="C19" s="6" t="inlineStr">
        <is>
          <t>th_filled_attachment_id</t>
        </is>
      </c>
      <c r="D19" s="6" t="inlineStr">
        <is>
          <t>Many2one ir.attachment</t>
        </is>
      </c>
      <c r="E19" s="6" t="inlineStr">
        <is>
          <t>Bản hợp đồng do hệ thống tạo (đục lỗ / đã ký) mới nhất</t>
        </is>
      </c>
    </row>
    <row r="20">
      <c r="A20" s="6" t="inlineStr">
        <is>
          <t>th.collaborator.profile</t>
        </is>
      </c>
      <c r="B20" s="6" t="inlineStr">
        <is>
          <t>Hồ sơ cộng tác viên (kế thừa mail.thread, mail.activity.mixin)</t>
        </is>
      </c>
      <c r="C20" s="6" t="inlineStr">
        <is>
          <t>th_sign_config_id</t>
        </is>
      </c>
      <c r="D20" s="6" t="inlineStr">
        <is>
          <t>Many2one (related)</t>
        </is>
      </c>
      <c r="E20" s="6" t="inlineStr">
        <is>
          <t>Cấu hình ký số của template</t>
        </is>
      </c>
    </row>
    <row r="21">
      <c r="A21" s="6" t="inlineStr">
        <is>
          <t>th.collaborator.profile</t>
        </is>
      </c>
      <c r="B21" s="6" t="inlineStr">
        <is>
          <t>Hồ sơ cộng tác viên (kế thừa mail.thread, mail.activity.mixin)</t>
        </is>
      </c>
      <c r="C21" s="6" t="inlineStr">
        <is>
          <t>th_is_signed / th_signed_date / th_signer_id / th_signer_cert_info</t>
        </is>
      </c>
      <c r="D21" s="6" t="inlineStr">
        <is>
          <t>Bool/Datetime/M2o/Char</t>
        </is>
      </c>
      <c r="E21" s="6" t="inlineStr">
        <is>
          <t>Trạng thái và vết ký số bên A</t>
        </is>
      </c>
    </row>
    <row r="22">
      <c r="A22" s="6" t="inlineStr">
        <is>
          <t>th.collaborator.contract.type</t>
        </is>
      </c>
      <c r="B22" s="6" t="inlineStr">
        <is>
          <t>Loại hợp đồng</t>
        </is>
      </c>
      <c r="C22" s="6" t="inlineStr">
        <is>
          <t>name</t>
        </is>
      </c>
      <c r="D22" s="6" t="inlineStr">
        <is>
          <t>Char (unique)</t>
        </is>
      </c>
      <c r="E22" s="6" t="inlineStr">
        <is>
          <t>Tên loại</t>
        </is>
      </c>
    </row>
    <row r="23">
      <c r="A23" s="6" t="inlineStr">
        <is>
          <t>th.collaborator.contract.type</t>
        </is>
      </c>
      <c r="B23" s="6" t="inlineStr">
        <is>
          <t>Loại hợp đồng</t>
        </is>
      </c>
      <c r="C23" s="6" t="inlineStr">
        <is>
          <t>sequence</t>
        </is>
      </c>
      <c r="D23" s="6" t="inlineStr">
        <is>
          <t>Integer</t>
        </is>
      </c>
      <c r="E23" s="6" t="inlineStr">
        <is>
          <t>Thứ tự</t>
        </is>
      </c>
    </row>
    <row r="24">
      <c r="A24" s="6" t="inlineStr">
        <is>
          <t>th.collaborator.contract.type</t>
        </is>
      </c>
      <c r="B24" s="6" t="inlineStr">
        <is>
          <t>Loại hợp đồng</t>
        </is>
      </c>
      <c r="C24" s="6" t="inlineStr">
        <is>
          <t>th_color</t>
        </is>
      </c>
      <c r="D24" s="6" t="inlineStr">
        <is>
          <t>Integer</t>
        </is>
      </c>
      <c r="E24" s="6" t="inlineStr">
        <is>
          <t>Màu tag</t>
        </is>
      </c>
    </row>
    <row r="25">
      <c r="A25" s="6" t="inlineStr">
        <is>
          <t>th.collaborator.contract.type</t>
        </is>
      </c>
      <c r="B25" s="6" t="inlineStr">
        <is>
          <t>Loại hợp đồng</t>
        </is>
      </c>
      <c r="C25" s="6" t="inlineStr">
        <is>
          <t>active</t>
        </is>
      </c>
      <c r="D25" s="6" t="inlineStr">
        <is>
          <t>Boolean</t>
        </is>
      </c>
      <c r="E25" s="6" t="inlineStr">
        <is>
          <t>Đang sử dụng</t>
        </is>
      </c>
    </row>
    <row r="26">
      <c r="A26" s="6" t="inlineStr">
        <is>
          <t>th.collaborator.contract.template</t>
        </is>
      </c>
      <c r="B26" s="6" t="inlineStr">
        <is>
          <t>Template hợp đồng PDF</t>
        </is>
      </c>
      <c r="C26" s="6" t="inlineStr">
        <is>
          <t>name</t>
        </is>
      </c>
      <c r="D26" s="6" t="inlineStr">
        <is>
          <t>Char</t>
        </is>
      </c>
      <c r="E26" s="6" t="inlineStr">
        <is>
          <t>Tên template</t>
        </is>
      </c>
    </row>
    <row r="27">
      <c r="A27" s="6" t="inlineStr">
        <is>
          <t>th.collaborator.contract.template</t>
        </is>
      </c>
      <c r="B27" s="6" t="inlineStr">
        <is>
          <t>Template hợp đồng PDF</t>
        </is>
      </c>
      <c r="C27" s="6" t="inlineStr">
        <is>
          <t>th_template_file / th_template_filename</t>
        </is>
      </c>
      <c r="D27" s="6" t="inlineStr">
        <is>
          <t>Binary / Char</t>
        </is>
      </c>
      <c r="E27" s="6" t="inlineStr">
        <is>
          <t>File PDF mẫu (có hoặc không có ô form)</t>
        </is>
      </c>
    </row>
    <row r="28">
      <c r="A28" s="6" t="inlineStr">
        <is>
          <t>th.collaborator.contract.template</t>
        </is>
      </c>
      <c r="B28" s="6" t="inlineStr">
        <is>
          <t>Template hợp đồng PDF</t>
        </is>
      </c>
      <c r="C28" s="6" t="inlineStr">
        <is>
          <t>th_detected_field_names</t>
        </is>
      </c>
      <c r="D28" s="6" t="inlineStr">
        <is>
          <t>Char (compute, store)</t>
        </is>
      </c>
      <c r="E28" s="6" t="inlineStr">
        <is>
          <t>Ô form đọc được từ PDF</t>
        </is>
      </c>
    </row>
    <row r="29">
      <c r="A29" s="6" t="inlineStr">
        <is>
          <t>th.collaborator.contract.template</t>
        </is>
      </c>
      <c r="B29" s="6" t="inlineStr">
        <is>
          <t>Template hợp đồng PDF</t>
        </is>
      </c>
      <c r="C29" s="6" t="inlineStr">
        <is>
          <t>th_field_line_ids</t>
        </is>
      </c>
      <c r="D29" s="6" t="inlineStr">
        <is>
          <t>One2many</t>
        </is>
      </c>
      <c r="E29" s="6" t="inlineStr">
        <is>
          <t>Cấu hình đục lỗ</t>
        </is>
      </c>
    </row>
    <row r="30">
      <c r="A30" s="6" t="inlineStr">
        <is>
          <t>th.collaborator.contract.template</t>
        </is>
      </c>
      <c r="B30" s="6" t="inlineStr">
        <is>
          <t>Template hợp đồng PDF</t>
        </is>
      </c>
      <c r="C30" s="6" t="inlineStr">
        <is>
          <t>th_mail_template_id</t>
        </is>
      </c>
      <c r="D30" s="6" t="inlineStr">
        <is>
          <t>Many2one mail.template</t>
        </is>
      </c>
      <c r="E30" s="6" t="inlineStr">
        <is>
          <t>Mẫu email gửi hợp đồng</t>
        </is>
      </c>
    </row>
    <row r="31">
      <c r="A31" s="6" t="inlineStr">
        <is>
          <t>th.collaborator.contract.template</t>
        </is>
      </c>
      <c r="B31" s="6" t="inlineStr">
        <is>
          <t>Template hợp đồng PDF</t>
        </is>
      </c>
      <c r="C31" s="6" t="inlineStr">
        <is>
          <t>th_contract_type_ids</t>
        </is>
      </c>
      <c r="D31" s="6" t="inlineStr">
        <is>
          <t>Many2many</t>
        </is>
      </c>
      <c r="E31" s="6" t="inlineStr">
        <is>
          <t>Loại hợp đồng áp dụng</t>
        </is>
      </c>
    </row>
    <row r="32">
      <c r="A32" s="6" t="inlineStr">
        <is>
          <t>th.collaborator.contract.template</t>
        </is>
      </c>
      <c r="B32" s="6" t="inlineStr">
        <is>
          <t>Template hợp đồng PDF</t>
        </is>
      </c>
      <c r="C32" s="6" t="inlineStr">
        <is>
          <t>th_sign_config_id</t>
        </is>
      </c>
      <c r="D32" s="6" t="inlineStr">
        <is>
          <t>Many2one</t>
        </is>
      </c>
      <c r="E32" s="6" t="inlineStr">
        <is>
          <t>Cấu hình ký số bên A</t>
        </is>
      </c>
    </row>
    <row r="33">
      <c r="A33" s="6" t="inlineStr">
        <is>
          <t>th.collaborator.contract.template.line</t>
        </is>
      </c>
      <c r="B33" s="6" t="inlineStr">
        <is>
          <t>Dòng cấu hình đục lỗ</t>
        </is>
      </c>
      <c r="C33" s="6" t="inlineStr">
        <is>
          <t>th_pdf_field_name</t>
        </is>
      </c>
      <c r="D33" s="6" t="inlineStr">
        <is>
          <t>Char (unique/template)</t>
        </is>
      </c>
      <c r="E33" s="6" t="inlineStr">
        <is>
          <t>Tên ô form hoặc khoá manual_N của ô vẽ tay</t>
        </is>
      </c>
    </row>
    <row r="34">
      <c r="A34" s="6" t="inlineStr">
        <is>
          <t>th.collaborator.contract.template.line</t>
        </is>
      </c>
      <c r="B34" s="6" t="inlineStr">
        <is>
          <t>Dòng cấu hình đục lỗ</t>
        </is>
      </c>
      <c r="C34" s="6" t="inlineStr">
        <is>
          <t>th_field_name</t>
        </is>
      </c>
      <c r="D34" s="6" t="inlineStr">
        <is>
          <t>Selection động</t>
        </is>
      </c>
      <c r="E34" s="6" t="inlineStr">
        <is>
          <t>Trường CTV được in vào ô</t>
        </is>
      </c>
    </row>
    <row r="35">
      <c r="A35" s="6" t="inlineStr">
        <is>
          <t>th.collaborator.contract.template.line</t>
        </is>
      </c>
      <c r="B35" s="6" t="inlineStr">
        <is>
          <t>Dòng cấu hình đục lỗ</t>
        </is>
      </c>
      <c r="C35" s="6" t="inlineStr">
        <is>
          <t>th_is_manual</t>
        </is>
      </c>
      <c r="D35" s="6" t="inlineStr">
        <is>
          <t>Boolean</t>
        </is>
      </c>
      <c r="E35" s="6" t="inlineStr">
        <is>
          <t>Ô vẽ tay trên màn hình thiết kế</t>
        </is>
      </c>
    </row>
    <row r="36">
      <c r="A36" s="6" t="inlineStr">
        <is>
          <t>th.collaborator.contract.template.line</t>
        </is>
      </c>
      <c r="B36" s="6" t="inlineStr">
        <is>
          <t>Dòng cấu hình đục lỗ</t>
        </is>
      </c>
      <c r="C36" s="6" t="inlineStr">
        <is>
          <t>th_is_signature</t>
        </is>
      </c>
      <c r="D36" s="6" t="inlineStr">
        <is>
          <t>Boolean</t>
        </is>
      </c>
      <c r="E36" s="6" t="inlineStr">
        <is>
          <t>Ô vị trí chữ ký số bên A</t>
        </is>
      </c>
    </row>
    <row r="37">
      <c r="A37" s="6" t="inlineStr">
        <is>
          <t>th.collaborator.contract.template.line</t>
        </is>
      </c>
      <c r="B37" s="6" t="inlineStr">
        <is>
          <t>Dòng cấu hình đục lỗ</t>
        </is>
      </c>
      <c r="C37" s="6" t="inlineStr">
        <is>
          <t>th_page, th_pos_x, th_pos_y, th_width, th_height</t>
        </is>
      </c>
      <c r="D37" s="6" t="inlineStr">
        <is>
          <t>Integer/Float</t>
        </is>
      </c>
      <c r="E37" s="6" t="inlineStr">
        <is>
          <t>Trang + toạ độ PDF (point, gốc dưới-trái)</t>
        </is>
      </c>
    </row>
    <row r="38">
      <c r="A38" s="6" t="inlineStr">
        <is>
          <t>th.collaborator.contract.template.line</t>
        </is>
      </c>
      <c r="B38" s="6" t="inlineStr">
        <is>
          <t>Dòng cấu hình đục lỗ</t>
        </is>
      </c>
      <c r="C38" s="6" t="inlineStr">
        <is>
          <t>th_font_size</t>
        </is>
      </c>
      <c r="D38" s="6" t="inlineStr">
        <is>
          <t>Float</t>
        </is>
      </c>
      <c r="E38" s="6" t="inlineStr">
        <is>
          <t>Cỡ chữ (0 = tự động)</t>
        </is>
      </c>
    </row>
    <row r="39">
      <c r="A39" s="6" t="inlineStr">
        <is>
          <t>th.collaborator.sign.config</t>
        </is>
      </c>
      <c r="B39" s="6" t="inlineStr">
        <is>
          <t>Cấu hình ký số (độc lập nhà cung cấp)</t>
        </is>
      </c>
      <c r="C39" s="6" t="inlineStr">
        <is>
          <t>th_provider</t>
        </is>
      </c>
      <c r="D39" s="6" t="inlineStr">
        <is>
          <t>Selection (mở rộng bằng selection_add)</t>
        </is>
      </c>
      <c r="E39" s="6" t="inlineStr">
        <is>
          <t>Nhà cung cấp chữ ký số</t>
        </is>
      </c>
    </row>
    <row r="40">
      <c r="A40" s="6" t="inlineStr">
        <is>
          <t>th.collaborator.sign.config</t>
        </is>
      </c>
      <c r="B40" s="6" t="inlineStr">
        <is>
          <t>Cấu hình ký số (độc lập nhà cung cấp)</t>
        </is>
      </c>
      <c r="C40" s="6" t="inlineStr">
        <is>
          <t>th_appearance_type</t>
        </is>
      </c>
      <c r="D40" s="6" t="inlineStr">
        <is>
          <t>Selection</t>
        </is>
      </c>
      <c r="E40" s="6" t="inlineStr">
        <is>
          <t>Chỉ mô tả / Mô tả + tên / Mô tả + ảnh / Chỉ ảnh / Ẩn</t>
        </is>
      </c>
    </row>
    <row r="41">
      <c r="A41" s="6" t="inlineStr">
        <is>
          <t>th.collaborator.sign.config</t>
        </is>
      </c>
      <c r="B41" s="6" t="inlineStr">
        <is>
          <t>Cấu hình ký số (độc lập nhà cung cấp)</t>
        </is>
      </c>
      <c r="C41" s="6" t="inlineStr">
        <is>
          <t>th_image</t>
        </is>
      </c>
      <c r="D41" s="6" t="inlineStr">
        <is>
          <t>Binary</t>
        </is>
      </c>
      <c r="E41" s="6" t="inlineStr">
        <is>
          <t>Ảnh con dấu/chữ ký</t>
        </is>
      </c>
    </row>
    <row r="42">
      <c r="A42" s="6" t="inlineStr">
        <is>
          <t>th.collaborator.sign.config</t>
        </is>
      </c>
      <c r="B42" s="6" t="inlineStr">
        <is>
          <t>Cấu hình ký số (độc lập nhà cung cấp)</t>
        </is>
      </c>
      <c r="C42" s="6" t="inlineStr">
        <is>
          <t>th_is_*_visible</t>
        </is>
      </c>
      <c r="D42" s="6" t="inlineStr">
        <is>
          <t>Boolean</t>
        </is>
      </c>
      <c r="E42" s="6" t="inlineStr">
        <is>
          <t>Hiện người ký / email / chức vụ / thời gian ký</t>
        </is>
      </c>
    </row>
    <row r="43">
      <c r="A43" s="6" t="inlineStr">
        <is>
          <t>th.collaborator.sign.config</t>
        </is>
      </c>
      <c r="B43" s="6" t="inlineStr">
        <is>
          <t>Cấu hình ký số (độc lập nhà cung cấp)</t>
        </is>
      </c>
      <c r="C43" s="6" t="inlineStr">
        <is>
          <t>th_description, th_text_size, th_text_color</t>
        </is>
      </c>
      <c r="D43" s="6" t="inlineStr">
        <is>
          <t>Text/Float/Char</t>
        </is>
      </c>
      <c r="E43" s="6" t="inlineStr">
        <is>
          <t>Dòng mô tả ({thoi_gian}), cỡ, màu chữ</t>
        </is>
      </c>
    </row>
    <row r="44">
      <c r="A44" s="6" t="inlineStr">
        <is>
          <t>th.collaborator.sign.config</t>
        </is>
      </c>
      <c r="B44" s="6" t="inlineStr">
        <is>
          <t>Cấu hình ký số (độc lập nhà cung cấp)</t>
        </is>
      </c>
      <c r="C44" s="6" t="inlineStr">
        <is>
          <t>th_is_initial_all_pages, th_tsa_url</t>
        </is>
      </c>
      <c r="D44" s="6" t="inlineStr">
        <is>
          <t>Boolean/Char</t>
        </is>
      </c>
      <c r="E44" s="6" t="inlineStr">
        <is>
          <t>Ký nháy mọi trang, dấu thời gian TSA</t>
        </is>
      </c>
    </row>
    <row r="45">
      <c r="A45" s="6" t="inlineStr">
        <is>
          <t>th.collaborator.sign.config</t>
        </is>
      </c>
      <c r="B45" s="6" t="inlineStr">
        <is>
          <t>Cấu hình ký số (độc lập nhà cung cấp)</t>
        </is>
      </c>
      <c r="C45" s="6" t="inlineStr">
        <is>
          <t>th_vnpt_license_key</t>
        </is>
      </c>
      <c r="D45" s="6" t="inlineStr">
        <is>
          <t>Text (module VNPT)</t>
        </is>
      </c>
      <c r="E45" s="6" t="inlineStr">
        <is>
          <t>License key VNPT-CA Plugin</t>
        </is>
      </c>
    </row>
    <row r="46">
      <c r="A46" s="6" t="inlineStr">
        <is>
          <t>th.collaborator.upload.wizard</t>
        </is>
      </c>
      <c r="B46" s="6" t="inlineStr">
        <is>
          <t>Wizard tải hợp đồng hàng loạt</t>
        </is>
      </c>
      <c r="C46" s="6" t="inlineStr">
        <is>
          <t>th_target_type</t>
        </is>
      </c>
      <c r="D46" s="6" t="inlineStr">
        <is>
          <t>Selection</t>
        </is>
      </c>
      <c r="E46" s="6" t="inlineStr">
        <is>
          <t>Hợp đồng công ty / Hợp đồng CTV</t>
        </is>
      </c>
    </row>
    <row r="47">
      <c r="A47" s="6" t="inlineStr">
        <is>
          <t>th.collaborator.upload.wizard</t>
        </is>
      </c>
      <c r="B47" s="6" t="inlineStr">
        <is>
          <t>Wizard tải hợp đồng hàng loạt</t>
        </is>
      </c>
      <c r="C47" s="6" t="inlineStr">
        <is>
          <t>th_upload_mode</t>
        </is>
      </c>
      <c r="D47" s="6" t="inlineStr">
        <is>
          <t>Selection</t>
        </is>
      </c>
      <c r="E47" s="6" t="inlineStr">
        <is>
          <t>Nhiều file (PDF/ảnh) / File ZIP</t>
        </is>
      </c>
    </row>
    <row r="48">
      <c r="A48" s="6" t="inlineStr">
        <is>
          <t>th.collaborator.upload.wizard</t>
        </is>
      </c>
      <c r="B48" s="6" t="inlineStr">
        <is>
          <t>Wizard tải hợp đồng hàng loạt</t>
        </is>
      </c>
      <c r="C48" s="6" t="inlineStr">
        <is>
          <t>th_attachment_ids / th_zip_file</t>
        </is>
      </c>
      <c r="D48" s="6" t="inlineStr">
        <is>
          <t>Many2many / Binary</t>
        </is>
      </c>
      <c r="E48" s="6" t="inlineStr">
        <is>
          <t>File upload</t>
        </is>
      </c>
    </row>
    <row r="49">
      <c r="A49" s="6" t="inlineStr">
        <is>
          <t>th.collaborator.upload.wizard</t>
        </is>
      </c>
      <c r="B49" s="6" t="inlineStr">
        <is>
          <t>Wizard tải hợp đồng hàng loạt</t>
        </is>
      </c>
      <c r="C49" s="6" t="inlineStr">
        <is>
          <t>th_result_note, th_is_done</t>
        </is>
      </c>
      <c r="D49" s="6" t="inlineStr">
        <is>
          <t>Text / Boolean</t>
        </is>
      </c>
      <c r="E49" s="6" t="inlineStr">
        <is>
          <t>Kết quả map</t>
        </is>
      </c>
    </row>
  </sheetData>
  <autoFilter ref="A4:E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SƠ ĐỒ TỔNG QUAN &amp; QUY TRÌNH</t>
        </is>
      </c>
    </row>
    <row r="2">
      <c r="A2" s="2" t="inlineStr">
        <is>
          <t>TH Collaborator - Quản lý cộng tác viên &amp; hợp đồng · th_collaborator (16.0.1.3.0), th_collaborator_sign_vnpt (16.0.1.0.0) · Cập nhật 18/10/2026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40" customWidth="1" min="3" max="3"/>
    <col width="12" customWidth="1" min="4" max="4"/>
    <col width="30" customWidth="1" min="5" max="5"/>
  </cols>
  <sheetData>
    <row r="1">
      <c r="A1" s="1" t="inlineStr">
        <is>
          <t>02a. YÊU CẦU NGHIỆP VỤ (BR)</t>
        </is>
      </c>
    </row>
    <row r="2">
      <c r="A2" s="2" t="inlineStr">
        <is>
          <t>TH Collaborator - Quản lý cộng tác viên &amp; hợp đồng · th_collaborator (16.0.1.3.0), th_collaborator_sign_vnpt (16.0.1.0.0) · Cập nhật 18/10/2026</t>
        </is>
      </c>
    </row>
    <row r="4">
      <c r="A4" s="5" t="inlineStr">
        <is>
          <t>ID</t>
        </is>
      </c>
      <c r="B4" s="5" t="inlineStr">
        <is>
          <t>Yêu cầu</t>
        </is>
      </c>
      <c r="C4" s="5" t="inlineStr">
        <is>
          <t>Mục tiêu / lý do</t>
        </is>
      </c>
      <c r="D4" s="5" t="inlineStr">
        <is>
          <t>Ưu tiên</t>
        </is>
      </c>
      <c r="E4" s="5" t="inlineStr">
        <is>
          <t>Chức năng đáp ứng</t>
        </is>
      </c>
    </row>
    <row r="5">
      <c r="A5" s="6" t="inlineStr">
        <is>
          <t>BR-01</t>
        </is>
      </c>
      <c r="B5" s="6" t="inlineStr">
        <is>
          <t>Quản lý thông tin CTV: họ tên, email, SĐT, người phụ trách, tên hợp đồng, loại hợp đồng</t>
        </is>
      </c>
      <c r="C5" s="6" t="inlineStr">
        <is>
          <t>Một nơi tra cứu CTV</t>
        </is>
      </c>
      <c r="D5" s="6" t="inlineStr">
        <is>
          <t>Cao</t>
        </is>
      </c>
      <c r="E5" s="6" t="inlineStr">
        <is>
          <t>FR-01, FR-02</t>
        </is>
      </c>
    </row>
    <row r="6">
      <c r="A6" s="6" t="inlineStr">
        <is>
          <t>BR-02</t>
        </is>
      </c>
      <c r="B6" s="6" t="inlineStr">
        <is>
          <t>Lưu 2 loại hợp đồng: do công ty đẩy lên và do CTV tự đẩy lên</t>
        </is>
      </c>
      <c r="C6" s="6" t="inlineStr">
        <is>
          <t>Tách bản công ty gửi / bản CTV ký</t>
        </is>
      </c>
      <c r="D6" s="6" t="inlineStr">
        <is>
          <t>Cao</t>
        </is>
      </c>
      <c r="E6" s="6" t="inlineStr">
        <is>
          <t>FR-03</t>
        </is>
      </c>
    </row>
    <row r="7">
      <c r="A7" s="6" t="inlineStr">
        <is>
          <t>BR-03</t>
        </is>
      </c>
      <c r="B7" s="6" t="inlineStr">
        <is>
          <t>Gửi mail cho CTV tự map tên + email ("Xin chào &lt;Tên&gt;"), gửi bằng email người phụ trách</t>
        </is>
      </c>
      <c r="C7" s="6" t="inlineStr">
        <is>
          <t>Giảm thao tác, đúng người liên hệ</t>
        </is>
      </c>
      <c r="D7" s="6" t="inlineStr">
        <is>
          <t>Cao</t>
        </is>
      </c>
      <c r="E7" s="6" t="inlineStr">
        <is>
          <t>FR-04</t>
        </is>
      </c>
    </row>
    <row r="8">
      <c r="A8" s="6" t="inlineStr">
        <is>
          <t>BR-04</t>
        </is>
      </c>
      <c r="B8" s="6" t="inlineStr">
        <is>
          <t>CTV không đăng nhập vẫn tải được hợp đồng qua link trong mail, dùng SĐT để xác thực/map bản ghi</t>
        </is>
      </c>
      <c r="C8" s="6" t="inlineStr">
        <is>
          <t>CTV không có tài khoản hệ thống</t>
        </is>
      </c>
      <c r="D8" s="6" t="inlineStr">
        <is>
          <t>Cao</t>
        </is>
      </c>
      <c r="E8" s="6" t="inlineStr">
        <is>
          <t>FR-05</t>
        </is>
      </c>
    </row>
    <row r="9">
      <c r="A9" s="6" t="inlineStr">
        <is>
          <t>BR-05</t>
        </is>
      </c>
      <c r="B9" s="6" t="inlineStr">
        <is>
          <t>Đẩy và tải hợp đồng số lượng lớn cùng lúc</t>
        </is>
      </c>
      <c r="C9" s="6" t="inlineStr">
        <is>
          <t>Xử lý hàng trăm CTV</t>
        </is>
      </c>
      <c r="D9" s="6" t="inlineStr">
        <is>
          <t>Cao</t>
        </is>
      </c>
      <c r="E9" s="6" t="inlineStr">
        <is>
          <t>FR-07, FR-08</t>
        </is>
      </c>
    </row>
    <row r="10">
      <c r="A10" s="6" t="inlineStr">
        <is>
          <t>BR-06</t>
        </is>
      </c>
      <c r="B10" s="6" t="inlineStr">
        <is>
          <t>Upload file thường chỉ nhận PDF hoặc ảnh</t>
        </is>
      </c>
      <c r="C10" s="6" t="inlineStr">
        <is>
          <t>Chuẩn hoá hồ sơ</t>
        </is>
      </c>
      <c r="D10" s="6" t="inlineStr">
        <is>
          <t>Trung bình</t>
        </is>
      </c>
      <c r="E10" s="6" t="inlineStr">
        <is>
          <t>FR-05</t>
        </is>
      </c>
    </row>
    <row r="11">
      <c r="A11" s="6" t="inlineStr">
        <is>
          <t>BR-07</t>
        </is>
      </c>
      <c r="B11" s="6" t="inlineStr">
        <is>
          <t>Hỏi xác nhận trước khi gửi lại mail; chỉ gửi khi có email và hợp đồng công ty/template</t>
        </is>
      </c>
      <c r="C11" s="6" t="inlineStr">
        <is>
          <t>Tránh gửi trùng/thiếu</t>
        </is>
      </c>
      <c r="D11" s="6" t="inlineStr">
        <is>
          <t>Trung bình</t>
        </is>
      </c>
      <c r="E11" s="6" t="inlineStr">
        <is>
          <t>FR-04</t>
        </is>
      </c>
    </row>
    <row r="12">
      <c r="A12" s="6" t="inlineStr">
        <is>
          <t>BR-08</t>
        </is>
      </c>
      <c r="B12" s="6" t="inlineStr">
        <is>
          <t>Có bộ lọc sẵn "CTV của tôi" theo người phụ trách</t>
        </is>
      </c>
      <c r="C12" s="6" t="inlineStr">
        <is>
          <t>Nhân viên tập trung CTV mình phụ trách</t>
        </is>
      </c>
      <c r="D12" s="6" t="inlineStr">
        <is>
          <t>Trung bình</t>
        </is>
      </c>
      <c r="E12" s="6" t="inlineStr">
        <is>
          <t>FR-09</t>
        </is>
      </c>
    </row>
    <row r="13">
      <c r="A13" s="6" t="inlineStr">
        <is>
          <t>BR-09</t>
        </is>
      </c>
      <c r="B13" s="6" t="inlineStr">
        <is>
          <t>Phân quyền đơn giản: chỉ 1 quyền nhân viên</t>
        </is>
      </c>
      <c r="C13" s="6" t="inlineStr">
        <is>
          <t>Dễ vận hành</t>
        </is>
      </c>
      <c r="D13" s="6" t="inlineStr">
        <is>
          <t>Trung bình</t>
        </is>
      </c>
      <c r="E13" s="6" t="inlineStr">
        <is>
          <t>FR-10</t>
        </is>
      </c>
    </row>
    <row r="14">
      <c r="A14" s="6" t="inlineStr">
        <is>
          <t>BR-10</t>
        </is>
      </c>
      <c r="B14" s="6" t="inlineStr">
        <is>
          <t>Hợp đồng CTV gửi lên được đặt tên chuẩn SĐT_Tên</t>
        </is>
      </c>
      <c r="C14" s="6" t="inlineStr">
        <is>
          <t>Dễ tra cứu, lưu trữ</t>
        </is>
      </c>
      <c r="D14" s="6" t="inlineStr">
        <is>
          <t>Trung bình</t>
        </is>
      </c>
      <c r="E14" s="6" t="inlineStr">
        <is>
          <t>FR-06</t>
        </is>
      </c>
    </row>
    <row r="15">
      <c r="A15" s="6" t="inlineStr">
        <is>
          <t>BR-11</t>
        </is>
      </c>
      <c r="B15" s="6" t="inlineStr">
        <is>
          <t>Tải template hợp đồng, đục lỗ thông tin CTV vào hợp đồng, xem trước, cấu hình mẫu email</t>
        </is>
      </c>
      <c r="C15" s="6" t="inlineStr">
        <is>
          <t>Tự động hoá soạn hợp đồng</t>
        </is>
      </c>
      <c r="D15" s="6" t="inlineStr">
        <is>
          <t>Cao</t>
        </is>
      </c>
      <c r="E15" s="6" t="inlineStr">
        <is>
          <t>FR-11, FR-14, FR-15, FR-16</t>
        </is>
      </c>
    </row>
    <row r="16">
      <c r="A16" s="6" t="inlineStr">
        <is>
          <t>BR-12</t>
        </is>
      </c>
      <c r="B16" s="6" t="inlineStr">
        <is>
          <t>Chọn thông tin cần đục lỗ và gắn với trường mong muốn; vẽ ô trên PDF không có ô form</t>
        </is>
      </c>
      <c r="C16" s="6" t="inlineStr">
        <is>
          <t>Dùng được mọi mẫu hợp đồng</t>
        </is>
      </c>
      <c r="D16" s="6" t="inlineStr">
        <is>
          <t>Cao</t>
        </is>
      </c>
      <c r="E16" s="6" t="inlineStr">
        <is>
          <t>FR-12, FR-13</t>
        </is>
      </c>
    </row>
    <row r="17">
      <c r="A17" s="6" t="inlineStr">
        <is>
          <t>BR-13</t>
        </is>
      </c>
      <c r="B17" s="6" t="inlineStr">
        <is>
          <t>Tạo hợp đồng từ template lưu vào Hợp đồng công ty</t>
        </is>
      </c>
      <c r="C17" s="6" t="inlineStr">
        <is>
          <t>Kiểm soát bản gửi CTV</t>
        </is>
      </c>
      <c r="D17" s="6" t="inlineStr">
        <is>
          <t>Cao</t>
        </is>
      </c>
      <c r="E17" s="6" t="inlineStr">
        <is>
          <t>FR-17</t>
        </is>
      </c>
    </row>
    <row r="18">
      <c r="A18" s="6" t="inlineStr">
        <is>
          <t>BR-14</t>
        </is>
      </c>
      <c r="B18" s="6" t="inlineStr">
        <is>
          <t>Bên A ký số hợp đồng bằng USB Token qua VNPT-CA Plugin, ký lẻ và ký hàng loạt</t>
        </is>
      </c>
      <c r="C18" s="6" t="inlineStr">
        <is>
          <t>Hợp đồng có giá trị pháp lý điện tử</t>
        </is>
      </c>
      <c r="D18" s="6" t="inlineStr">
        <is>
          <t>Cao</t>
        </is>
      </c>
      <c r="E18" s="6" t="inlineStr">
        <is>
          <t>FR-18, FR-19, FR-20, FR-21</t>
        </is>
      </c>
    </row>
    <row r="19">
      <c r="A19" s="6" t="inlineStr">
        <is>
          <t>BR-15</t>
        </is>
      </c>
      <c r="B19" s="6" t="inlineStr">
        <is>
          <t>Có thể chuyển sang nhà cung cấp chữ ký số khác mà không viết lại hệ thống</t>
        </is>
      </c>
      <c r="C19" s="6" t="inlineStr">
        <is>
          <t>Không phụ thuộc 1 nhà cung cấp</t>
        </is>
      </c>
      <c r="D19" s="6" t="inlineStr">
        <is>
          <t>Cao</t>
        </is>
      </c>
      <c r="E19" s="6" t="inlineStr">
        <is>
          <t>FR-22</t>
        </is>
      </c>
    </row>
    <row r="20">
      <c r="A20" s="6" t="inlineStr">
        <is>
          <t>BR-16</t>
        </is>
      </c>
      <c r="B20" s="6" t="inlineStr">
        <is>
          <t>Tuân thủ quy tắc lập trình của đội (đặt tên th_, phân quyền role/access, logging, docstring...)</t>
        </is>
      </c>
      <c r="C20" s="6" t="inlineStr">
        <is>
          <t>Chất lượng &amp; bảo trì</t>
        </is>
      </c>
      <c r="D20" s="6" t="inlineStr">
        <is>
          <t>Bắt buộc</t>
        </is>
      </c>
      <c r="E20" s="6" t="inlineStr">
        <is>
          <t>FR-10</t>
        </is>
      </c>
    </row>
  </sheetData>
  <autoFilter ref="A4:E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90" customWidth="1" min="3" max="3"/>
    <col width="14" customWidth="1" min="4" max="4"/>
    <col width="26" customWidth="1" min="5" max="5"/>
  </cols>
  <sheetData>
    <row r="1">
      <c r="A1" s="1" t="inlineStr">
        <is>
          <t>02b. YÊU CẦU CHỨC NĂNG (FR)</t>
        </is>
      </c>
    </row>
    <row r="2">
      <c r="A2" s="2" t="inlineStr">
        <is>
          <t>TH Collaborator - Quản lý cộng tác viên &amp; hợp đồng · th_collaborator (16.0.1.3.0), th_collaborator_sign_vnpt (16.0.1.0.0) · Cập nhật 18/10/2026</t>
        </is>
      </c>
    </row>
    <row r="4">
      <c r="A4" s="5" t="inlineStr">
        <is>
          <t>ID</t>
        </is>
      </c>
      <c r="B4" s="5" t="inlineStr">
        <is>
          <t>Chức năng</t>
        </is>
      </c>
      <c r="C4" s="5" t="inlineStr">
        <is>
          <t>Mô tả / tiêu chí chấp nhận</t>
        </is>
      </c>
      <c r="D4" s="5" t="inlineStr">
        <is>
          <t>BR</t>
        </is>
      </c>
      <c r="E4" s="5" t="inlineStr">
        <is>
          <t>Trạng thái</t>
        </is>
      </c>
    </row>
    <row r="5">
      <c r="A5" s="6" t="inlineStr">
        <is>
          <t>FR-01</t>
        </is>
      </c>
      <c r="B5" s="6" t="inlineStr">
        <is>
          <t>Quản lý hồ sơ CTV</t>
        </is>
      </c>
      <c r="C5" s="6" t="inlineStr">
        <is>
          <t>Form/list/search CTV; bắt buộc tên, SĐT, email, người phụ trách, tên hợp đồng trên view; email đúng định dạng; SĐT ≥9 số và không trùng (chuẩn hoá +84/0)</t>
        </is>
      </c>
      <c r="D5" s="6" t="inlineStr">
        <is>
          <t>BR-01</t>
        </is>
      </c>
      <c r="E5" s="14" t="inlineStr">
        <is>
          <t>Hoàn thành</t>
        </is>
      </c>
    </row>
    <row r="6">
      <c r="A6" s="6" t="inlineStr">
        <is>
          <t>FR-02</t>
        </is>
      </c>
      <c r="B6" s="6" t="inlineStr">
        <is>
          <t>Loại hợp đồng dạng tag</t>
        </is>
      </c>
      <c r="C6" s="6" t="inlineStr">
        <is>
          <t>Menu Cấu hình &gt; Loại hợp đồng; tag có màu, sắp xếp, lưu trữ; ô chọn trên CTV không cho tạo nhanh</t>
        </is>
      </c>
      <c r="D6" s="6" t="inlineStr">
        <is>
          <t>BR-01</t>
        </is>
      </c>
      <c r="E6" s="14" t="inlineStr">
        <is>
          <t>Hoàn thành</t>
        </is>
      </c>
    </row>
    <row r="7">
      <c r="A7" s="6" t="inlineStr">
        <is>
          <t>FR-03</t>
        </is>
      </c>
      <c r="B7" s="6" t="inlineStr">
        <is>
          <t>2 kho hợp đồng</t>
        </is>
      </c>
      <c r="C7" s="6" t="inlineStr">
        <is>
          <t>Tab Hợp đồng công ty / Hợp đồng CTV tải lên (many2many_binary, chỉ PDF/ảnh); file gắn res_model/res_id = CTV</t>
        </is>
      </c>
      <c r="D7" s="6" t="inlineStr">
        <is>
          <t>BR-02</t>
        </is>
      </c>
      <c r="E7" s="14" t="inlineStr">
        <is>
          <t>Hoàn thành</t>
        </is>
      </c>
    </row>
    <row r="8">
      <c r="A8" s="6" t="inlineStr">
        <is>
          <t>FR-04</t>
        </is>
      </c>
      <c r="B8" s="6" t="inlineStr">
        <is>
          <t>Gửi mail hợp đồng</t>
        </is>
      </c>
      <c r="C8" s="6" t="inlineStr">
        <is>
          <t>Nút trên form (ẩn khi thiếu email hoặc thiếu HĐ công ty/template); nút gửi lại có xác nhận; nút gửi hàng loạt trên list có xác nhận; From/Reply-To = người phụ trách; đính kèm toàn bộ Hợp đồng công ty</t>
        </is>
      </c>
      <c r="D8" s="6" t="inlineStr">
        <is>
          <t>BR-03, BR-07</t>
        </is>
      </c>
      <c r="E8" s="14" t="inlineStr">
        <is>
          <t>Hoàn thành</t>
        </is>
      </c>
    </row>
    <row r="9">
      <c r="A9" s="6" t="inlineStr">
        <is>
          <t>FR-05</t>
        </is>
      </c>
      <c r="B9" s="6" t="inlineStr">
        <is>
          <t>Link upload công khai</t>
        </is>
      </c>
      <c r="C9" s="6" t="inlineStr">
        <is>
          <t>Token ngẫu nhiên/CTV; CTV nhập SĐT đã đăng ký; ≤10 file, ≤20MB/file; PDF/ảnh kiểm tra nội dung thật; nút tạo lại link vô hiệu link cũ</t>
        </is>
      </c>
      <c r="D9" s="6" t="inlineStr">
        <is>
          <t>BR-04, BR-06</t>
        </is>
      </c>
      <c r="E9" s="14" t="inlineStr">
        <is>
          <t>Hoàn thành</t>
        </is>
      </c>
    </row>
    <row r="10">
      <c r="A10" s="6" t="inlineStr">
        <is>
          <t>FR-06</t>
        </is>
      </c>
      <c r="B10" s="6" t="inlineStr">
        <is>
          <t>Đặt tên hợp đồng CTV</t>
        </is>
      </c>
      <c r="C10" s="6" t="inlineStr">
        <is>
          <t>File CTV gửi lên đổi tên SĐT_Tên.&lt;đuôi&gt;, các file sau SĐT_Tên_2, _3 (đếm tiếp theo số file đã có)</t>
        </is>
      </c>
      <c r="D10" s="6" t="inlineStr">
        <is>
          <t>BR-10</t>
        </is>
      </c>
      <c r="E10" s="14" t="inlineStr">
        <is>
          <t>Hoàn thành</t>
        </is>
      </c>
    </row>
    <row r="11">
      <c r="A11" s="6" t="inlineStr">
        <is>
          <t>FR-07</t>
        </is>
      </c>
      <c r="B11" s="6" t="inlineStr">
        <is>
          <t>Upload hàng loạt (wizard)</t>
        </is>
      </c>
      <c r="C11" s="6" t="inlineStr">
        <is>
          <t>Chọn loại HĐ + hình thức (Nhiều file PDF/ảnh | ZIP); map theo SĐT ở đầu tên file hoặc tên thư mục; báo file không map được; giới hạn ZIP 2.000 file/1GB</t>
        </is>
      </c>
      <c r="D11" s="6" t="inlineStr">
        <is>
          <t>BR-05</t>
        </is>
      </c>
      <c r="E11" s="14" t="inlineStr">
        <is>
          <t>Hoàn thành</t>
        </is>
      </c>
    </row>
    <row r="12">
      <c r="A12" s="6" t="inlineStr">
        <is>
          <t>FR-08</t>
        </is>
      </c>
      <c r="B12" s="6" t="inlineStr">
        <is>
          <t>Tải ZIP hàng loạt</t>
        </is>
      </c>
      <c r="C12" s="6" t="inlineStr">
        <is>
          <t>2 nút: Tải HĐ công ty (ZIP), Tải HĐ CTV (ZIP); 1 cấp thư mục SĐT_Tên/; trùng tên thêm id</t>
        </is>
      </c>
      <c r="D12" s="6" t="inlineStr">
        <is>
          <t>BR-05</t>
        </is>
      </c>
      <c r="E12" s="14" t="inlineStr">
        <is>
          <t>Hoàn thành</t>
        </is>
      </c>
    </row>
    <row r="13">
      <c r="A13" s="6" t="inlineStr">
        <is>
          <t>FR-09</t>
        </is>
      </c>
      <c r="B13" s="6" t="inlineStr">
        <is>
          <t>Bộ lọc CTV của tôi</t>
        </is>
      </c>
      <c r="C13" s="6" t="inlineStr">
        <is>
          <t>Action mặc định search_default_th_filter_my; nhóm theo trạng thái/người phụ trách/loại HĐ</t>
        </is>
      </c>
      <c r="D13" s="6" t="inlineStr">
        <is>
          <t>BR-08</t>
        </is>
      </c>
      <c r="E13" s="14" t="inlineStr">
        <is>
          <t>Hoàn thành</t>
        </is>
      </c>
    </row>
    <row r="14">
      <c r="A14" s="6" t="inlineStr">
        <is>
          <t>FR-10</t>
        </is>
      </c>
      <c r="B14" s="6" t="inlineStr">
        <is>
          <t>Phân quyền 1 role</t>
        </is>
      </c>
      <c r="C14" s="6" t="inlineStr">
        <is>
          <t>Role "Nhân viên quản lý CTV" -&gt; access group giữ ACL; menu theo group</t>
        </is>
      </c>
      <c r="D14" s="6" t="inlineStr">
        <is>
          <t>BR-09, BR-16</t>
        </is>
      </c>
      <c r="E14" s="14" t="inlineStr">
        <is>
          <t>Hoàn thành</t>
        </is>
      </c>
    </row>
    <row r="15">
      <c r="A15" s="6" t="inlineStr">
        <is>
          <t>FR-11</t>
        </is>
      </c>
      <c r="B15" s="6" t="inlineStr">
        <is>
          <t>Template hợp đồng PDF</t>
        </is>
      </c>
      <c r="C15" s="6" t="inlineStr">
        <is>
          <t>Upload PDF (có/không ô form); nhận diện ô form; gắn mẫu email, loại HĐ, cấu hình ký số</t>
        </is>
      </c>
      <c r="D15" s="6" t="inlineStr">
        <is>
          <t>BR-11</t>
        </is>
      </c>
      <c r="E15" s="14" t="inlineStr">
        <is>
          <t>Hoàn thành</t>
        </is>
      </c>
    </row>
    <row r="16">
      <c r="A16" s="6" t="inlineStr">
        <is>
          <t>FR-12</t>
        </is>
      </c>
      <c r="B16" s="6" t="inlineStr">
        <is>
          <t>Cấu hình đục lỗ</t>
        </is>
      </c>
      <c r="C16" s="6" t="inlineStr">
        <is>
          <t>Bảng ô form -&gt; trường CTV (Selection động, gợi ý ten/email/sdt...); "Đọc lại ô form" giữ cấu hình cũ</t>
        </is>
      </c>
      <c r="D16" s="6" t="inlineStr">
        <is>
          <t>BR-12</t>
        </is>
      </c>
      <c r="E16" s="14" t="inlineStr">
        <is>
          <t>Hoàn thành</t>
        </is>
      </c>
    </row>
    <row r="17">
      <c r="A17" s="6" t="inlineStr">
        <is>
          <t>FR-13</t>
        </is>
      </c>
      <c r="B17" s="6" t="inlineStr">
        <is>
          <t>Màn hình thiết kế ô đục lỗ</t>
        </is>
      </c>
      <c r="C17" s="6" t="inlineStr">
        <is>
          <t>Render PDF (pdf.js), kéo vẽ ô, di chuyển, đổi kích thước, Delete xoá, chọn trường + cỡ chữ, chuyển trang, lưu, xem thử</t>
        </is>
      </c>
      <c r="D17" s="6" t="inlineStr">
        <is>
          <t>BR-12</t>
        </is>
      </c>
      <c r="E17" s="14" t="inlineStr">
        <is>
          <t>Hoàn thành</t>
        </is>
      </c>
    </row>
    <row r="18">
      <c r="A18" s="6" t="inlineStr">
        <is>
          <t>FR-14</t>
        </is>
      </c>
      <c r="B18" s="6" t="inlineStr">
        <is>
          <t>Đục lỗ PDF tiếng Việt</t>
        </is>
      </c>
      <c r="C18" s="6" t="inlineStr">
        <is>
          <t>Vẽ chữ bằng font Unicode tại toạ độ ô, tự thu nhỏ chữ cho vừa, flatten ô đã điền; định dạng ngày dd/mm/yyyy, selection, tag</t>
        </is>
      </c>
      <c r="D18" s="6" t="inlineStr">
        <is>
          <t>BR-11</t>
        </is>
      </c>
      <c r="E18" s="14" t="inlineStr">
        <is>
          <t>Hoàn thành</t>
        </is>
      </c>
    </row>
    <row r="19">
      <c r="A19" s="6" t="inlineStr">
        <is>
          <t>FR-15</t>
        </is>
      </c>
      <c r="B19" s="6" t="inlineStr">
        <is>
          <t>Xem trước hợp đồng</t>
        </is>
      </c>
      <c r="C19" s="6" t="inlineStr">
        <is>
          <t>Trên CTV (dữ liệu thật) và template (nhãn trường); PDF inline, không lưu file</t>
        </is>
      </c>
      <c r="D19" s="6" t="inlineStr">
        <is>
          <t>BR-11</t>
        </is>
      </c>
      <c r="E19" s="14" t="inlineStr">
        <is>
          <t>Hoàn thành</t>
        </is>
      </c>
    </row>
    <row r="20">
      <c r="A20" s="6" t="inlineStr">
        <is>
          <t>FR-16</t>
        </is>
      </c>
      <c r="B20" s="6" t="inlineStr">
        <is>
          <t>Cấu hình mẫu email</t>
        </is>
      </c>
      <c r="C20" s="6" t="inlineStr">
        <is>
          <t>Menu Cấu hình &gt; Mẫu email hợp đồng (mail.template của CTV); mỗi template HĐ chọn 1 mẫu</t>
        </is>
      </c>
      <c r="D20" s="6" t="inlineStr">
        <is>
          <t>BR-11</t>
        </is>
      </c>
      <c r="E20" s="14" t="inlineStr">
        <is>
          <t>Hoàn thành</t>
        </is>
      </c>
    </row>
    <row r="21">
      <c r="A21" s="6" t="inlineStr">
        <is>
          <t>FR-17</t>
        </is>
      </c>
      <c r="B21" s="6" t="inlineStr">
        <is>
          <t>Tạo hợp đồng</t>
        </is>
      </c>
      <c r="C21" s="6" t="inlineStr">
        <is>
          <t>Nút Tạo hợp đồng / Tạo lại hợp đồng (xác nhận) lưu vào Hợp đồng công ty; thay bản cũ, xoá bản cũ nếu chưa gửi mail; reset trạng thái ký</t>
        </is>
      </c>
      <c r="D21" s="6" t="inlineStr">
        <is>
          <t>BR-13</t>
        </is>
      </c>
      <c r="E21" s="14" t="inlineStr">
        <is>
          <t>Hoàn thành</t>
        </is>
      </c>
    </row>
    <row r="22">
      <c r="A22" s="6" t="inlineStr">
        <is>
          <t>FR-18</t>
        </is>
      </c>
      <c r="B22" s="6" t="inlineStr">
        <is>
          <t>Cấu hình ký số</t>
        </is>
      </c>
      <c r="C22" s="6" t="inlineStr">
        <is>
          <t>Nhà cung cấp, kiểu hiển thị (5 kiểu), ảnh, bật/tắt thông tin, mô tả {thoi_gian}, cỡ/màu chữ, ký nháy, TSA</t>
        </is>
      </c>
      <c r="D22" s="6" t="inlineStr">
        <is>
          <t>BR-14</t>
        </is>
      </c>
      <c r="E22" s="14" t="inlineStr">
        <is>
          <t>Hoàn thành</t>
        </is>
      </c>
    </row>
    <row r="23">
      <c r="A23" s="6" t="inlineStr">
        <is>
          <t>FR-19</t>
        </is>
      </c>
      <c r="B23" s="6" t="inlineStr">
        <is>
          <t>Ô chữ ký bên A</t>
        </is>
      </c>
      <c r="C23" s="6" t="inlineStr">
        <is>
          <t>Vẽ trên màn hình thiết kế, loại ô "Chữ ký số bên A", tối đa 1 ô/template</t>
        </is>
      </c>
      <c r="D23" s="6" t="inlineStr">
        <is>
          <t>BR-14</t>
        </is>
      </c>
      <c r="E23" s="14" t="inlineStr">
        <is>
          <t>Hoàn thành</t>
        </is>
      </c>
    </row>
    <row r="24">
      <c r="A24" s="6" t="inlineStr">
        <is>
          <t>FR-20</t>
        </is>
      </c>
      <c r="B24" s="6" t="inlineStr">
        <is>
          <t>Ký số lẻ &amp; hàng loạt</t>
        </is>
      </c>
      <c r="C24" s="6" t="inlineStr">
        <is>
          <t>Nút Ký số bên A (form) / Ký số hàng loạt (list); chọn chứng thư 1 lần, nhập PIN 1 lần/lô; lưu file _da_ky.pdf; vết người ký, thời gian, chứng thư</t>
        </is>
      </c>
      <c r="D24" s="6" t="inlineStr">
        <is>
          <t>BR-14</t>
        </is>
      </c>
      <c r="E24" s="14" t="inlineStr">
        <is>
          <t>Hoàn thành (chưa test token thật)</t>
        </is>
      </c>
    </row>
    <row r="25">
      <c r="A25" s="6" t="inlineStr">
        <is>
          <t>FR-21</t>
        </is>
      </c>
      <c r="B25" s="6" t="inlineStr">
        <is>
          <t>Ràng buộc sau ký</t>
        </is>
      </c>
      <c r="C25" s="6" t="inlineStr">
        <is>
          <t>Chặn gửi mail khi template yêu cầu ký mà chưa ký; chặn ký lại; tạo lại hợp đồng thì bỏ chữ ký</t>
        </is>
      </c>
      <c r="D25" s="6" t="inlineStr">
        <is>
          <t>BR-14</t>
        </is>
      </c>
      <c r="E25" s="14" t="inlineStr">
        <is>
          <t>Hoàn thành</t>
        </is>
      </c>
    </row>
    <row r="26">
      <c r="A26" s="6" t="inlineStr">
        <is>
          <t>FR-22</t>
        </is>
      </c>
      <c r="B26" s="6" t="inlineStr">
        <is>
          <t>Khung đa nhà cung cấp ký số</t>
        </is>
      </c>
      <c r="C26" s="6" t="inlineStr">
        <is>
          <t>Hook Python + registry JS; nhà cung cấp kiểu client/server; module VNPT là provider đầu tiên</t>
        </is>
      </c>
      <c r="D26" s="6" t="inlineStr">
        <is>
          <t>BR-15</t>
        </is>
      </c>
      <c r="E26" s="14" t="inlineStr">
        <is>
          <t>Hoàn thành</t>
        </is>
      </c>
    </row>
  </sheetData>
  <autoFilter ref="A4:E26"/>
  <dataValidations count="1">
    <dataValidation sqref="E5:E56" showDropDown="0" showInputMessage="0" showErrorMessage="0" allowBlank="1" type="list">
      <formula1>"Hoàn thành,Hoàn thành (chưa test token thật),Đang làm,Chưa làm"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10" customWidth="1" min="3" max="3"/>
  </cols>
  <sheetData>
    <row r="1">
      <c r="A1" s="1" t="inlineStr">
        <is>
          <t>02c. YÊU CẦU PHI CHỨC NĂNG (NFR)</t>
        </is>
      </c>
    </row>
    <row r="2">
      <c r="A2" s="2" t="inlineStr">
        <is>
          <t>TH Collaborator - Quản lý cộng tác viên &amp; hợp đồng · th_collaborator (16.0.1.3.0), th_collaborator_sign_vnpt (16.0.1.0.0) · Cập nhật 18/10/2026</t>
        </is>
      </c>
    </row>
    <row r="4">
      <c r="A4" s="5" t="inlineStr">
        <is>
          <t>ID</t>
        </is>
      </c>
      <c r="B4" s="5" t="inlineStr">
        <is>
          <t>Nhóm</t>
        </is>
      </c>
      <c r="C4" s="5" t="inlineStr">
        <is>
          <t>Yêu cầu</t>
        </is>
      </c>
    </row>
    <row r="5">
      <c r="A5" s="6" t="inlineStr">
        <is>
          <t>NFR-01</t>
        </is>
      </c>
      <c r="B5" s="6" t="inlineStr">
        <is>
          <t>Hiệu năng</t>
        </is>
      </c>
      <c r="C5" s="6" t="inlineStr">
        <is>
          <t>Gửi nhiều mail không treo màn hình (khuyến nghị force_send=False); ZIP stream qua file tạm, đọc trực tiếp filestore; ký 1 lô 1 lần PIN</t>
        </is>
      </c>
    </row>
    <row r="6">
      <c r="A6" s="6" t="inlineStr">
        <is>
          <t>NFR-02</t>
        </is>
      </c>
      <c r="B6" s="6" t="inlineStr">
        <is>
          <t>Bảo mật</t>
        </is>
      </c>
      <c r="C6" s="6" t="inlineStr">
        <is>
          <t>Token + SĐT, CSRF, kiểm tra nội dung file, chặn zip bomb, sudo có lý do, quyền file theo bản ghi</t>
        </is>
      </c>
    </row>
    <row r="7">
      <c r="A7" s="6" t="inlineStr">
        <is>
          <t>NFR-03</t>
        </is>
      </c>
      <c r="B7" s="6" t="inlineStr">
        <is>
          <t>Tiếng Việt</t>
        </is>
      </c>
      <c r="C7" s="6" t="inlineStr">
        <is>
          <t>Font Unicode khi đục lỗ; giao diện &amp; thông báo tiếng Việt</t>
        </is>
      </c>
    </row>
    <row r="8">
      <c r="A8" s="6" t="inlineStr">
        <is>
          <t>NFR-04</t>
        </is>
      </c>
      <c r="B8" s="6" t="inlineStr">
        <is>
          <t>Mở rộng</t>
        </is>
      </c>
      <c r="C8" s="6" t="inlineStr">
        <is>
          <t>Thêm nhà cung cấp ký số bằng module riêng, không sửa lõi</t>
        </is>
      </c>
    </row>
    <row r="9">
      <c r="A9" s="6" t="inlineStr">
        <is>
          <t>NFR-05</t>
        </is>
      </c>
      <c r="B9" s="6" t="inlineStr">
        <is>
          <t>Tuân thủ quy tắc đội</t>
        </is>
      </c>
      <c r="C9" s="6" t="inlineStr">
        <is>
          <t>Prefix th_, đặt tên XML ID th_&lt;module&gt;_&lt;object&gt;_&lt;type&gt;, _logger, docstring, không required/readonly trên field</t>
        </is>
      </c>
    </row>
  </sheetData>
  <autoFilter ref="A4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110" customWidth="1" min="3" max="3"/>
  </cols>
  <sheetData>
    <row r="1">
      <c r="A1" s="1" t="inlineStr">
        <is>
          <t>03a. HƯỚNG DẪN SỬ DỤNG</t>
        </is>
      </c>
    </row>
    <row r="2">
      <c r="A2" s="2" t="inlineStr">
        <is>
          <t>TH Collaborator - Quản lý cộng tác viên &amp; hợp đồng · th_collaborator (16.0.1.3.0), th_collaborator_sign_vnpt (16.0.1.0.0) · Cập nhật 18/10/2026</t>
        </is>
      </c>
    </row>
    <row r="4">
      <c r="A4" s="5" t="inlineStr">
        <is>
          <t>Mục</t>
        </is>
      </c>
      <c r="B4" s="5" t="inlineStr">
        <is>
          <t>Bước</t>
        </is>
      </c>
      <c r="C4" s="5" t="inlineStr">
        <is>
          <t>Thao tác</t>
        </is>
      </c>
    </row>
    <row r="5">
      <c r="A5" s="6" t="inlineStr">
        <is>
          <t>A1. Cài đặt &amp; phân quyền</t>
        </is>
      </c>
      <c r="B5" s="6" t="n">
        <v>1</v>
      </c>
      <c r="C5" s="6" t="inlineStr">
        <is>
          <t>Thêm thư mục D:\work\odoo-16.0\Owl-odoo vào addons_path.</t>
        </is>
      </c>
    </row>
    <row r="6">
      <c r="A6" s="6" t="inlineStr">
        <is>
          <t>A1. Cài đặt &amp; phân quyền</t>
        </is>
      </c>
      <c r="B6" s="6" t="n">
        <v>2</v>
      </c>
      <c r="C6" s="6" t="inlineStr">
        <is>
          <t>Cài module "TH Collaborator"; nếu ký số VNPT cài thêm "TH Collaborator - Ký số VNPT-CA Plugin".</t>
        </is>
      </c>
    </row>
    <row r="7">
      <c r="A7" s="6" t="inlineStr">
        <is>
          <t>A1. Cài đặt &amp; phân quyền</t>
        </is>
      </c>
      <c r="B7" s="6" t="n">
        <v>3</v>
      </c>
      <c r="C7" s="6" t="inlineStr">
        <is>
          <t>Settings &gt; Users: gán quyền "Nhân viên quản lý CTV" (nhóm Cộng tác viên) cho nhân viên.</t>
        </is>
      </c>
    </row>
    <row r="8">
      <c r="A8" s="6" t="inlineStr">
        <is>
          <t>A1. Cài đặt &amp; phân quyền</t>
        </is>
      </c>
      <c r="B8" s="6" t="n">
        <v>4</v>
      </c>
      <c r="C8" s="6" t="inlineStr">
        <is>
          <t>Đảm bảo user có email (dùng làm người gửi mail).</t>
        </is>
      </c>
    </row>
    <row r="9">
      <c r="A9" s="6" t="inlineStr">
        <is>
          <t>A2. Tạo CTV</t>
        </is>
      </c>
      <c r="B9" s="6" t="n">
        <v>1</v>
      </c>
      <c r="C9" s="6" t="inlineStr">
        <is>
          <t>Menu Cộng tác viên &gt; Cộng tác viên &gt; Mới.</t>
        </is>
      </c>
    </row>
    <row r="10">
      <c r="A10" s="6" t="inlineStr">
        <is>
          <t>A2. Tạo CTV</t>
        </is>
      </c>
      <c r="B10" s="6" t="n">
        <v>2</v>
      </c>
      <c r="C10" s="6" t="inlineStr">
        <is>
          <t>Nhập Tên hợp đồng, Họ tên, SĐT, Email, Người phụ trách, Loại hợp đồng, Template hợp đồng.</t>
        </is>
      </c>
    </row>
    <row r="11">
      <c r="A11" s="6" t="inlineStr">
        <is>
          <t>A2. Tạo CTV</t>
        </is>
      </c>
      <c r="B11" s="6" t="n">
        <v>3</v>
      </c>
      <c r="C11" s="6" t="inlineStr">
        <is>
          <t>Lưu. Link upload riêng của CTV hiện ở ô "Link upload hợp đồng" (có nút copy).</t>
        </is>
      </c>
    </row>
    <row r="12">
      <c r="A12" s="6" t="inlineStr">
        <is>
          <t>A2. Tạo CTV</t>
        </is>
      </c>
      <c r="B12" s="6" t="n">
        <v>4</v>
      </c>
      <c r="C12" s="6" t="inlineStr">
        <is>
          <t>Tạo hàng loạt: Favorites &gt; Import records từ Excel (cột Họ tên, Email, SĐT...).</t>
        </is>
      </c>
    </row>
    <row r="13">
      <c r="A13" s="6" t="inlineStr">
        <is>
          <t>A3. Cấu hình loại hợp đồng &amp; mẫu email</t>
        </is>
      </c>
      <c r="B13" s="6" t="n">
        <v>1</v>
      </c>
      <c r="C13" s="6" t="inlineStr">
        <is>
          <t>Cấu hình &gt; Loại hợp đồng: thêm dòng, chọn màu.</t>
        </is>
      </c>
    </row>
    <row r="14">
      <c r="A14" s="6" t="inlineStr">
        <is>
          <t>A3. Cấu hình loại hợp đồng &amp; mẫu email</t>
        </is>
      </c>
      <c r="B14" s="6" t="n">
        <v>2</v>
      </c>
      <c r="C14" s="6" t="inlineStr">
        <is>
          <t>Cấu hình &gt; Mẫu email hợp đồng: sửa tiêu đề/nội dung; dùng object.name, object.th_upload_url.</t>
        </is>
      </c>
    </row>
    <row r="15">
      <c r="A15" s="6" t="inlineStr">
        <is>
          <t>A4. Template hợp đồng &amp; đục lỗ</t>
        </is>
      </c>
      <c r="B15" s="6" t="n">
        <v>1</v>
      </c>
      <c r="C15" s="6" t="inlineStr">
        <is>
          <t>Cấu hình &gt; Template hợp đồng &gt; Mới: nhập tên, upload PDF, chọn mẫu email, lưu.</t>
        </is>
      </c>
    </row>
    <row r="16">
      <c r="A16" s="6" t="inlineStr">
        <is>
          <t>A4. Template hợp đồng &amp; đục lỗ</t>
        </is>
      </c>
      <c r="B16" s="6" t="n">
        <v>2</v>
      </c>
      <c r="C16" s="6" t="inlineStr">
        <is>
          <t>PDF có ô form: tab Cấu hình đục lỗ tự sinh dòng; chọn trường CTV cho từng ô.</t>
        </is>
      </c>
    </row>
    <row r="17">
      <c r="A17" s="6" t="inlineStr">
        <is>
          <t>A4. Template hợp đồng &amp; đục lỗ</t>
        </is>
      </c>
      <c r="B17" s="6" t="n">
        <v>3</v>
      </c>
      <c r="C17" s="6" t="inlineStr">
        <is>
          <t>PDF không có ô form: bấm "Thiết kế ô đục lỗ", kéo chuột vẽ ô, chọn trường, chỉnh cỡ chữ, Lưu.</t>
        </is>
      </c>
    </row>
    <row r="18">
      <c r="A18" s="6" t="inlineStr">
        <is>
          <t>A4. Template hợp đồng &amp; đục lỗ</t>
        </is>
      </c>
      <c r="B18" s="6" t="n">
        <v>4</v>
      </c>
      <c r="C18" s="6" t="inlineStr">
        <is>
          <t>Bấm "Xem thử với dữ liệu mẫu" để kiểm tra vị trí.</t>
        </is>
      </c>
    </row>
    <row r="19">
      <c r="A19" s="6" t="inlineStr">
        <is>
          <t>A5. Tạo hợp đồng &amp; gửi mail</t>
        </is>
      </c>
      <c r="B19" s="6" t="n">
        <v>1</v>
      </c>
      <c r="C19" s="6" t="inlineStr">
        <is>
          <t>Trên CTV chọn Template hợp đồng &gt; "Xem trước hợp đồng" (không lưu).</t>
        </is>
      </c>
    </row>
    <row r="20">
      <c r="A20" s="6" t="inlineStr">
        <is>
          <t>A5. Tạo hợp đồng &amp; gửi mail</t>
        </is>
      </c>
      <c r="B20" s="6" t="n">
        <v>2</v>
      </c>
      <c r="C20" s="6" t="inlineStr">
        <is>
          <t>Bấm "Tạo hợp đồng": file SĐT_Tên_&lt;template&gt;.pdf vào tab Hợp đồng công ty.</t>
        </is>
      </c>
    </row>
    <row r="21">
      <c r="A21" s="6" t="inlineStr">
        <is>
          <t>A5. Tạo hợp đồng &amp; gửi mail</t>
        </is>
      </c>
      <c r="B21" s="6" t="n">
        <v>3</v>
      </c>
      <c r="C21" s="6" t="inlineStr">
        <is>
          <t>Bấm "Gửi mail hợp đồng" (lần sau là "Gửi lại", có xác nhận). Mail gửi từ email người phụ trách, kèm Hợp đồng công ty.</t>
        </is>
      </c>
    </row>
    <row r="22">
      <c r="A22" s="6" t="inlineStr">
        <is>
          <t>A5. Tạo hợp đồng &amp; gửi mail</t>
        </is>
      </c>
      <c r="B22" s="6" t="n">
        <v>4</v>
      </c>
      <c r="C22" s="6" t="inlineStr">
        <is>
          <t>Gửi nhiều: chọn CTV trên danh sách &gt; "Gửi mail hợp đồng".</t>
        </is>
      </c>
    </row>
    <row r="23">
      <c r="A23" s="6" t="inlineStr">
        <is>
          <t>A6. CTV tải hợp đồng lên</t>
        </is>
      </c>
      <c r="B23" s="6" t="n">
        <v>1</v>
      </c>
      <c r="C23" s="6" t="inlineStr">
        <is>
          <t>CTV mở link trong mail, nhập SĐT đã đăng ký, chọn tối đa 10 file PDF/ảnh (≤20MB/file), bấm Gửi.</t>
        </is>
      </c>
    </row>
    <row r="24">
      <c r="A24" s="6" t="inlineStr">
        <is>
          <t>A6. CTV tải hợp đồng lên</t>
        </is>
      </c>
      <c r="B24" s="6" t="n">
        <v>2</v>
      </c>
      <c r="C24" s="6" t="inlineStr">
        <is>
          <t>Hệ thống đổi tên SĐT_Tên.pdf, lưu vào tab Hợp đồng CTV tải lên, trạng thái "CTV đã tải hợp đồng", báo người phụ trách trên chatter.</t>
        </is>
      </c>
    </row>
    <row r="25">
      <c r="A25" s="6" t="inlineStr">
        <is>
          <t>A7. Tải lên / tải về hàng loạt</t>
        </is>
      </c>
      <c r="B25" s="6" t="n">
        <v>1</v>
      </c>
      <c r="C25" s="6" t="inlineStr">
        <is>
          <t>Menu Tải hợp đồng hàng loạt: chọn Loại hợp đồng + Hình thức (Nhiều file | ZIP).</t>
        </is>
      </c>
    </row>
    <row r="26">
      <c r="A26" s="6" t="inlineStr">
        <is>
          <t>A7. Tải lên / tải về hàng loạt</t>
        </is>
      </c>
      <c r="B26" s="6" t="n">
        <v>2</v>
      </c>
      <c r="C26" s="6" t="inlineStr">
        <is>
          <t>Đặt tên file 0912345678_hopdong.pdf hoặc ZIP có thư mục 0912345678/. SĐT không có dấu cách/gạch.</t>
        </is>
      </c>
    </row>
    <row r="27">
      <c r="A27" s="6" t="inlineStr">
        <is>
          <t>A7. Tải lên / tải về hàng loạt</t>
        </is>
      </c>
      <c r="B27" s="6" t="n">
        <v>3</v>
      </c>
      <c r="C27" s="6" t="inlineStr">
        <is>
          <t>Bấm Tải lên, xem kết quả và danh sách file không map được.</t>
        </is>
      </c>
    </row>
    <row r="28">
      <c r="A28" s="6" t="inlineStr">
        <is>
          <t>A7. Tải lên / tải về hàng loạt</t>
        </is>
      </c>
      <c r="B28" s="6" t="n">
        <v>4</v>
      </c>
      <c r="C28" s="6" t="inlineStr">
        <is>
          <t>Tải về: chọn CTV trên danh sách &gt; "Tải HĐ công ty (ZIP)" hoặc "Tải HĐ CTV (ZIP)".</t>
        </is>
      </c>
    </row>
    <row r="29">
      <c r="A29" s="6" t="inlineStr">
        <is>
          <t>A8. Ký số bên A (VNPT USB Token)</t>
        </is>
      </c>
      <c r="B29" s="6" t="n">
        <v>1</v>
      </c>
      <c r="C29" s="6" t="inlineStr">
        <is>
          <t>Máy người ký: cài VNPT-CA Plugin, cắm USB Token.</t>
        </is>
      </c>
    </row>
    <row r="30">
      <c r="A30" s="6" t="inlineStr">
        <is>
          <t>A8. Ký số bên A (VNPT USB Token)</t>
        </is>
      </c>
      <c r="B30" s="6" t="n">
        <v>2</v>
      </c>
      <c r="C30" s="6" t="inlineStr">
        <is>
          <t>Cấu hình &gt; Cấu hình ký số &gt; Mới: Nhà cung cấp VNPT-CA Plugin, License key, kiểu hiển thị, ảnh con dấu, mô tả.</t>
        </is>
      </c>
    </row>
    <row r="31">
      <c r="A31" s="6" t="inlineStr">
        <is>
          <t>A8. Ký số bên A (VNPT USB Token)</t>
        </is>
      </c>
      <c r="B31" s="6" t="n">
        <v>3</v>
      </c>
      <c r="C31" s="6" t="inlineStr">
        <is>
          <t>Template hợp đồng: chọn Cấu hình ký số bên A; vào Thiết kế ô đục lỗ vẽ 1 ô, Loại ô = "Chữ ký số bên A", Lưu.</t>
        </is>
      </c>
    </row>
    <row r="32">
      <c r="A32" s="6" t="inlineStr">
        <is>
          <t>A8. Ký số bên A (VNPT USB Token)</t>
        </is>
      </c>
      <c r="B32" s="6" t="n">
        <v>4</v>
      </c>
      <c r="C32" s="6" t="inlineStr">
        <is>
          <t>CTV: Tạo hợp đồng &gt; "Ký số bên A" &gt; chọn chứng thư &gt; nhập PIN. Hàng loạt: chọn nhiều CTV &gt; "Ký số hàng loạt" (PIN 1 lần).</t>
        </is>
      </c>
    </row>
    <row r="33">
      <c r="A33" s="6" t="inlineStr">
        <is>
          <t>A8. Ký số bên A (VNPT USB Token)</t>
        </is>
      </c>
      <c r="B33" s="6" t="n">
        <v>5</v>
      </c>
      <c r="C33" s="6" t="inlineStr">
        <is>
          <t>File _da_ky.pdf thay bản chưa ký; sau đó mới gửi mail được.</t>
        </is>
      </c>
    </row>
  </sheetData>
  <autoFilter ref="A4:C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42" customWidth="1" min="4" max="4"/>
    <col width="42" customWidth="1" min="5" max="5"/>
    <col width="34" customWidth="1" min="6" max="6"/>
    <col width="20" customWidth="1" min="7" max="7"/>
    <col width="16" customWidth="1" min="8" max="8"/>
    <col width="13" customWidth="1" min="9" max="9"/>
    <col width="24" customWidth="1" min="10" max="10"/>
  </cols>
  <sheetData>
    <row r="1">
      <c r="A1" s="1" t="inlineStr">
        <is>
          <t>03b. KỊCH BẢN KIỂM THỬ</t>
        </is>
      </c>
    </row>
    <row r="2">
      <c r="A2" s="2" t="inlineStr">
        <is>
          <t>Ô nền vàng (Trạng thái, Người test, Ngày test, Ghi chú) để đội test cập nhật. Môi trường đã test: DB th_collaborator_test, plugin VNPT giả lập.</t>
        </is>
      </c>
    </row>
    <row r="4">
      <c r="A4" s="5" t="inlineStr">
        <is>
          <t>ID</t>
        </is>
      </c>
      <c r="B4" s="5" t="inlineStr">
        <is>
          <t>FR</t>
        </is>
      </c>
      <c r="C4" s="5" t="inlineStr">
        <is>
          <t>Điều kiện</t>
        </is>
      </c>
      <c r="D4" s="5" t="inlineStr">
        <is>
          <t>Các bước</t>
        </is>
      </c>
      <c r="E4" s="5" t="inlineStr">
        <is>
          <t>Kết quả mong đợi</t>
        </is>
      </c>
      <c r="F4" s="5" t="inlineStr">
        <is>
          <t>Kết quả thực tế</t>
        </is>
      </c>
      <c r="G4" s="5" t="inlineStr">
        <is>
          <t>Trạng thái</t>
        </is>
      </c>
      <c r="H4" s="5" t="inlineStr">
        <is>
          <t>Người test</t>
        </is>
      </c>
      <c r="I4" s="5" t="inlineStr">
        <is>
          <t>Ngày test</t>
        </is>
      </c>
      <c r="J4" s="5" t="inlineStr">
        <is>
          <t>Ghi chú</t>
        </is>
      </c>
    </row>
    <row r="5">
      <c r="A5" s="6" t="inlineStr">
        <is>
          <t>TC-01</t>
        </is>
      </c>
      <c r="B5" s="6" t="inlineStr">
        <is>
          <t>FR-01</t>
        </is>
      </c>
      <c r="C5" s="6" t="inlineStr">
        <is>
          <t>Đăng nhập nhân viên</t>
        </is>
      </c>
      <c r="D5" s="6" t="inlineStr">
        <is>
          <t>Tạo CTV SĐT +84912345678; tạo CTV khác SĐT 0912345678</t>
        </is>
      </c>
      <c r="E5" s="6" t="inlineStr">
        <is>
          <t>CTV 2 bị chặn: "Số điện thoại đã tồn tại"</t>
        </is>
      </c>
      <c r="F5" s="6" t="inlineStr"/>
      <c r="G5" s="14" t="inlineStr">
        <is>
          <t>Chưa test</t>
        </is>
      </c>
      <c r="H5" s="14" t="inlineStr"/>
      <c r="I5" s="14" t="inlineStr"/>
      <c r="J5" s="14" t="inlineStr"/>
    </row>
    <row r="6">
      <c r="A6" s="6" t="inlineStr">
        <is>
          <t>TC-02</t>
        </is>
      </c>
      <c r="B6" s="6" t="inlineStr">
        <is>
          <t>FR-01</t>
        </is>
      </c>
      <c r="C6" s="6" t="inlineStr"/>
      <c r="D6" s="6" t="inlineStr">
        <is>
          <t>Nhập email "abc@"</t>
        </is>
      </c>
      <c r="E6" s="6" t="inlineStr">
        <is>
          <t>Báo email không hợp lệ</t>
        </is>
      </c>
      <c r="F6" s="6" t="inlineStr"/>
      <c r="G6" s="14" t="inlineStr">
        <is>
          <t>Chưa test UI</t>
        </is>
      </c>
      <c r="H6" s="14" t="inlineStr"/>
      <c r="I6" s="14" t="inlineStr"/>
      <c r="J6" s="14" t="inlineStr"/>
    </row>
    <row r="7">
      <c r="A7" s="6" t="inlineStr">
        <is>
          <t>TC-03</t>
        </is>
      </c>
      <c r="B7" s="6" t="inlineStr">
        <is>
          <t>FR-04</t>
        </is>
      </c>
      <c r="C7" s="6" t="inlineStr">
        <is>
          <t>CTV chưa có email / chưa HĐ &amp; template</t>
        </is>
      </c>
      <c r="D7" s="6" t="inlineStr">
        <is>
          <t>Mở form CTV</t>
        </is>
      </c>
      <c r="E7" s="6" t="inlineStr">
        <is>
          <t>Ẩn nút Gửi mail; gửi từ list báo lỗi kèm tên CTV</t>
        </is>
      </c>
      <c r="F7" s="6" t="inlineStr"/>
      <c r="G7" s="14" t="inlineStr">
        <is>
          <t>Chưa test</t>
        </is>
      </c>
      <c r="H7" s="14" t="inlineStr"/>
      <c r="I7" s="14" t="inlineStr"/>
      <c r="J7" s="14" t="inlineStr"/>
    </row>
    <row r="8">
      <c r="A8" s="6" t="inlineStr">
        <is>
          <t>TC-04</t>
        </is>
      </c>
      <c r="B8" s="6" t="inlineStr">
        <is>
          <t>FR-04</t>
        </is>
      </c>
      <c r="C8" s="6" t="inlineStr">
        <is>
          <t>CTV đã gửi mail</t>
        </is>
      </c>
      <c r="D8" s="6" t="inlineStr">
        <is>
          <t>Bấm "Gửi lại mail hợp đồng"</t>
        </is>
      </c>
      <c r="E8" s="6" t="inlineStr">
        <is>
          <t>Hiện hộp xác nhận</t>
        </is>
      </c>
      <c r="F8" s="6" t="inlineStr">
        <is>
          <t>Nút có confirm</t>
        </is>
      </c>
      <c r="G8" s="14" t="inlineStr">
        <is>
          <t>Đạt (view)</t>
        </is>
      </c>
      <c r="H8" s="14" t="inlineStr">
        <is>
          <t>Claude (DB test)</t>
        </is>
      </c>
      <c r="I8" s="14" t="inlineStr">
        <is>
          <t>16-17/10/2026</t>
        </is>
      </c>
      <c r="J8" s="14" t="inlineStr"/>
    </row>
    <row r="9">
      <c r="A9" s="6" t="inlineStr">
        <is>
          <t>TC-05</t>
        </is>
      </c>
      <c r="B9" s="6" t="inlineStr">
        <is>
          <t>FR-04</t>
        </is>
      </c>
      <c r="C9" s="6" t="inlineStr">
        <is>
          <t>Template có ký số, đã ký</t>
        </is>
      </c>
      <c r="D9" s="6" t="inlineStr">
        <is>
          <t>Gửi mail</t>
        </is>
      </c>
      <c r="E9" s="6" t="inlineStr">
        <is>
          <t>Mail From = người phụ trách, đính kèm bản _da_ky.pdf</t>
        </is>
      </c>
      <c r="F9" s="6" t="inlineStr">
        <is>
          <t>Đính kèm đúng; mail exception do DB test không có SMTP</t>
        </is>
      </c>
      <c r="G9" s="14" t="inlineStr">
        <is>
          <t>Đạt</t>
        </is>
      </c>
      <c r="H9" s="14" t="inlineStr">
        <is>
          <t>Claude (DB test)</t>
        </is>
      </c>
      <c r="I9" s="14" t="inlineStr">
        <is>
          <t>16-17/10/2026</t>
        </is>
      </c>
      <c r="J9" s="14" t="inlineStr"/>
    </row>
    <row r="10">
      <c r="A10" s="6" t="inlineStr">
        <is>
          <t>TC-06</t>
        </is>
      </c>
      <c r="B10" s="6" t="inlineStr">
        <is>
          <t>FR-05</t>
        </is>
      </c>
      <c r="C10" s="6" t="inlineStr">
        <is>
          <t>Có link upload</t>
        </is>
      </c>
      <c r="D10" s="6" t="inlineStr">
        <is>
          <t>Mở link, nhập sai SĐT, gửi file</t>
        </is>
      </c>
      <c r="E10" s="6" t="inlineStr">
        <is>
          <t>Báo SĐT không khớp, không lưu</t>
        </is>
      </c>
      <c r="F10" s="6" t="inlineStr"/>
      <c r="G10" s="14" t="inlineStr">
        <is>
          <t>Chưa test</t>
        </is>
      </c>
      <c r="H10" s="14" t="inlineStr"/>
      <c r="I10" s="14" t="inlineStr"/>
      <c r="J10" s="14" t="inlineStr"/>
    </row>
    <row r="11">
      <c r="A11" s="6" t="inlineStr">
        <is>
          <t>TC-07</t>
        </is>
      </c>
      <c r="B11" s="6" t="inlineStr">
        <is>
          <t>FR-05/06</t>
        </is>
      </c>
      <c r="C11" s="6" t="inlineStr">
        <is>
          <t>Có link upload</t>
        </is>
      </c>
      <c r="D11" s="6" t="inlineStr">
        <is>
          <t>Nhập đúng SĐT, gửi 2 file PDF</t>
        </is>
      </c>
      <c r="E11" s="6" t="inlineStr">
        <is>
          <t>Lưu SĐT_Tên.pdf, SĐT_Tên_2.pdf; trạng thái CTV đã tải</t>
        </is>
      </c>
      <c r="F11" s="6" t="inlineStr"/>
      <c r="G11" s="14" t="inlineStr">
        <is>
          <t>Chưa test</t>
        </is>
      </c>
      <c r="H11" s="14" t="inlineStr"/>
      <c r="I11" s="14" t="inlineStr"/>
      <c r="J11" s="14" t="inlineStr"/>
    </row>
    <row r="12">
      <c r="A12" s="6" t="inlineStr">
        <is>
          <t>TC-08</t>
        </is>
      </c>
      <c r="B12" s="6" t="inlineStr">
        <is>
          <t>FR-05</t>
        </is>
      </c>
      <c r="C12" s="6" t="inlineStr"/>
      <c r="D12" s="6" t="inlineStr">
        <is>
          <t>Gửi file .docx đổi đuôi .pdf</t>
        </is>
      </c>
      <c r="E12" s="6" t="inlineStr">
        <is>
          <t>Báo chỉ chấp nhận PDF/ảnh</t>
        </is>
      </c>
      <c r="F12" s="6" t="inlineStr"/>
      <c r="G12" s="14" t="inlineStr">
        <is>
          <t>Chưa test</t>
        </is>
      </c>
      <c r="H12" s="14" t="inlineStr"/>
      <c r="I12" s="14" t="inlineStr"/>
      <c r="J12" s="14" t="inlineStr"/>
    </row>
    <row r="13">
      <c r="A13" s="6" t="inlineStr">
        <is>
          <t>TC-09</t>
        </is>
      </c>
      <c r="B13" s="6" t="inlineStr">
        <is>
          <t>FR-07</t>
        </is>
      </c>
      <c r="C13" s="6" t="inlineStr">
        <is>
          <t>CTV có SĐT</t>
        </is>
      </c>
      <c r="D13" s="6" t="inlineStr">
        <is>
          <t>Wizard ZIP chứa 0912345678/hd.pdf và abc.pdf</t>
        </is>
      </c>
      <c r="E13" s="6" t="inlineStr">
        <is>
          <t>hd.pdf gắn đúng CTV; abc.pdf trong danh sách không map</t>
        </is>
      </c>
      <c r="F13" s="6" t="inlineStr"/>
      <c r="G13" s="14" t="inlineStr">
        <is>
          <t>Chưa test</t>
        </is>
      </c>
      <c r="H13" s="14" t="inlineStr"/>
      <c r="I13" s="14" t="inlineStr"/>
      <c r="J13" s="14" t="inlineStr"/>
    </row>
    <row r="14">
      <c r="A14" s="6" t="inlineStr">
        <is>
          <t>TC-10</t>
        </is>
      </c>
      <c r="B14" s="6" t="inlineStr">
        <is>
          <t>FR-08</t>
        </is>
      </c>
      <c r="C14" s="6" t="inlineStr">
        <is>
          <t>2 CTV có HĐ</t>
        </is>
      </c>
      <c r="D14" s="6" t="inlineStr">
        <is>
          <t>Tải HĐ công ty (ZIP)</t>
        </is>
      </c>
      <c r="E14" s="6" t="inlineStr">
        <is>
          <t>ZIP có thư mục SĐT_Tên/ chứa file</t>
        </is>
      </c>
      <c r="F14" s="6" t="inlineStr"/>
      <c r="G14" s="14" t="inlineStr">
        <is>
          <t>Chưa test</t>
        </is>
      </c>
      <c r="H14" s="14" t="inlineStr"/>
      <c r="I14" s="14" t="inlineStr"/>
      <c r="J14" s="14" t="inlineStr"/>
    </row>
    <row r="15">
      <c r="A15" s="6" t="inlineStr">
        <is>
          <t>TC-11</t>
        </is>
      </c>
      <c r="B15" s="6" t="inlineStr">
        <is>
          <t>FR-11</t>
        </is>
      </c>
      <c r="C15" s="6" t="inlineStr"/>
      <c r="D15" s="6" t="inlineStr">
        <is>
          <t>Upload PDF không có ô form</t>
        </is>
      </c>
      <c r="E15" s="6" t="inlineStr">
        <is>
          <t>Lưu được, không lỗi</t>
        </is>
      </c>
      <c r="F15" s="6" t="inlineStr">
        <is>
          <t>Lưu thành công</t>
        </is>
      </c>
      <c r="G15" s="14" t="inlineStr">
        <is>
          <t>Đạt</t>
        </is>
      </c>
      <c r="H15" s="14" t="inlineStr">
        <is>
          <t>Claude (DB test)</t>
        </is>
      </c>
      <c r="I15" s="14" t="inlineStr">
        <is>
          <t>16-17/10/2026</t>
        </is>
      </c>
      <c r="J15" s="14" t="inlineStr"/>
    </row>
    <row r="16">
      <c r="A16" s="6" t="inlineStr">
        <is>
          <t>TC-12</t>
        </is>
      </c>
      <c r="B16" s="6" t="inlineStr">
        <is>
          <t>FR-12</t>
        </is>
      </c>
      <c r="C16" s="6" t="inlineStr">
        <is>
          <t>PDF có ô ten/email/sdt/chu_ky</t>
        </is>
      </c>
      <c r="D16" s="6" t="inlineStr">
        <is>
          <t>Upload template</t>
        </is>
      </c>
      <c r="E16" s="6" t="inlineStr">
        <is>
          <t>Sinh 4 dòng, gợi ý name/th_email/th_phone; chu_ky để trống</t>
        </is>
      </c>
      <c r="F16" s="6" t="inlineStr">
        <is>
          <t>Nhận diện 4 ô</t>
        </is>
      </c>
      <c r="G16" s="14" t="inlineStr">
        <is>
          <t>Đạt</t>
        </is>
      </c>
      <c r="H16" s="14" t="inlineStr">
        <is>
          <t>Claude (DB test)</t>
        </is>
      </c>
      <c r="I16" s="14" t="inlineStr">
        <is>
          <t>16-17/10/2026</t>
        </is>
      </c>
      <c r="J16" s="14" t="inlineStr"/>
    </row>
    <row r="17">
      <c r="A17" s="6" t="inlineStr">
        <is>
          <t>TC-13</t>
        </is>
      </c>
      <c r="B17" s="6" t="inlineStr">
        <is>
          <t>FR-13</t>
        </is>
      </c>
      <c r="C17" s="6" t="inlineStr">
        <is>
          <t>Template PDF</t>
        </is>
      </c>
      <c r="D17" s="6" t="inlineStr">
        <is>
          <t>Vẽ 4 ô, di chuyển, đổi kích thước, Delete, vẽ lại, Lưu</t>
        </is>
      </c>
      <c r="E17" s="6" t="inlineStr">
        <is>
          <t>Toạ độ PDF lưu đúng</t>
        </is>
      </c>
      <c r="F17" s="6" t="inlineStr">
        <is>
          <t>Đúng (mô phỏng sự kiện chuột)</t>
        </is>
      </c>
      <c r="G17" s="14" t="inlineStr">
        <is>
          <t>Đạt</t>
        </is>
      </c>
      <c r="H17" s="14" t="inlineStr">
        <is>
          <t>Claude (DB test)</t>
        </is>
      </c>
      <c r="I17" s="14" t="inlineStr">
        <is>
          <t>16-17/10/2026</t>
        </is>
      </c>
      <c r="J17" s="14" t="inlineStr"/>
    </row>
    <row r="18">
      <c r="A18" s="6" t="inlineStr">
        <is>
          <t>TC-14</t>
        </is>
      </c>
      <c r="B18" s="6" t="inlineStr">
        <is>
          <t>FR-14/15</t>
        </is>
      </c>
      <c r="C18" s="6" t="inlineStr">
        <is>
          <t>CTV tên "Nguyễn Thị Hồng Nhung"</t>
        </is>
      </c>
      <c r="D18" s="6" t="inlineStr">
        <is>
          <t>Xem trước hợp đồng</t>
        </is>
      </c>
      <c r="E18" s="6" t="inlineStr">
        <is>
          <t>Chữ đủ dấu, đúng dòng; ngày dd/mm/yyyy HH:MM</t>
        </is>
      </c>
      <c r="F18" s="6" t="inlineStr">
        <is>
          <t>Hiển thị đúng</t>
        </is>
      </c>
      <c r="G18" s="14" t="inlineStr">
        <is>
          <t>Đạt</t>
        </is>
      </c>
      <c r="H18" s="14" t="inlineStr">
        <is>
          <t>Claude (DB test)</t>
        </is>
      </c>
      <c r="I18" s="14" t="inlineStr">
        <is>
          <t>16-17/10/2026</t>
        </is>
      </c>
      <c r="J18" s="14" t="inlineStr"/>
    </row>
    <row r="19">
      <c r="A19" s="6" t="inlineStr">
        <is>
          <t>TC-15</t>
        </is>
      </c>
      <c r="B19" s="6" t="inlineStr">
        <is>
          <t>FR-14</t>
        </is>
      </c>
      <c r="C19" s="6" t="inlineStr">
        <is>
          <t>Ô nhỏ, tên dài</t>
        </is>
      </c>
      <c r="D19" s="6" t="inlineStr">
        <is>
          <t>Xem trước</t>
        </is>
      </c>
      <c r="E19" s="6" t="inlineStr">
        <is>
          <t>Chữ tự thu nhỏ vừa ô</t>
        </is>
      </c>
      <c r="F19" s="6" t="inlineStr">
        <is>
          <t>Đúng</t>
        </is>
      </c>
      <c r="G19" s="14" t="inlineStr">
        <is>
          <t>Đạt</t>
        </is>
      </c>
      <c r="H19" s="14" t="inlineStr">
        <is>
          <t>Claude (DB test)</t>
        </is>
      </c>
      <c r="I19" s="14" t="inlineStr">
        <is>
          <t>16-17/10/2026</t>
        </is>
      </c>
      <c r="J19" s="14" t="inlineStr"/>
    </row>
    <row r="20">
      <c r="A20" s="6" t="inlineStr">
        <is>
          <t>TC-16</t>
        </is>
      </c>
      <c r="B20" s="6" t="inlineStr">
        <is>
          <t>FR-17</t>
        </is>
      </c>
      <c r="C20" s="6" t="inlineStr">
        <is>
          <t>CTV có template</t>
        </is>
      </c>
      <c r="D20" s="6" t="inlineStr">
        <is>
          <t>Tạo hợp đồng 2 lần</t>
        </is>
      </c>
      <c r="E20" s="6" t="inlineStr">
        <is>
          <t>Bản lần 1 (chưa gửi mail) bị xoá; bản đã gửi mail được giữ</t>
        </is>
      </c>
      <c r="F20" s="6" t="inlineStr">
        <is>
          <t>Đúng</t>
        </is>
      </c>
      <c r="G20" s="14" t="inlineStr">
        <is>
          <t>Đạt</t>
        </is>
      </c>
      <c r="H20" s="14" t="inlineStr">
        <is>
          <t>Claude (DB test)</t>
        </is>
      </c>
      <c r="I20" s="14" t="inlineStr">
        <is>
          <t>16-17/10/2026</t>
        </is>
      </c>
      <c r="J20" s="14" t="inlineStr"/>
    </row>
    <row r="21">
      <c r="A21" s="6" t="inlineStr">
        <is>
          <t>TC-17</t>
        </is>
      </c>
      <c r="B21" s="6" t="inlineStr">
        <is>
          <t>FR-17</t>
        </is>
      </c>
      <c r="C21" s="6" t="inlineStr">
        <is>
          <t>Chưa chọn template</t>
        </is>
      </c>
      <c r="D21" s="6" t="inlineStr">
        <is>
          <t>Tạo hợp đồng</t>
        </is>
      </c>
      <c r="E21" s="6" t="inlineStr">
        <is>
          <t>Báo "chưa chọn template"</t>
        </is>
      </c>
      <c r="F21" s="6" t="inlineStr">
        <is>
          <t>Đúng</t>
        </is>
      </c>
      <c r="G21" s="14" t="inlineStr">
        <is>
          <t>Đạt</t>
        </is>
      </c>
      <c r="H21" s="14" t="inlineStr">
        <is>
          <t>Claude (DB test)</t>
        </is>
      </c>
      <c r="I21" s="14" t="inlineStr">
        <is>
          <t>16-17/10/2026</t>
        </is>
      </c>
      <c r="J21" s="14" t="inlineStr"/>
    </row>
    <row r="22">
      <c r="A22" s="6" t="inlineStr">
        <is>
          <t>TC-18</t>
        </is>
      </c>
      <c r="B22" s="6" t="inlineStr">
        <is>
          <t>FR-19</t>
        </is>
      </c>
      <c r="C22" s="6" t="inlineStr">
        <is>
          <t>Template</t>
        </is>
      </c>
      <c r="D22" s="6" t="inlineStr">
        <is>
          <t>Vẽ ô, Loại ô = Chữ ký số bên A; đặt ô thứ 2 làm chữ ký</t>
        </is>
      </c>
      <c r="E22" s="6" t="inlineStr">
        <is>
          <t>Ô viền xanh; ô cũ tự về ô thông tin; server chặn &gt;1 ô</t>
        </is>
      </c>
      <c r="F22" s="6" t="inlineStr">
        <is>
          <t>Hiển thị đúng</t>
        </is>
      </c>
      <c r="G22" s="14" t="inlineStr">
        <is>
          <t>Đạt</t>
        </is>
      </c>
      <c r="H22" s="14" t="inlineStr">
        <is>
          <t>Claude (DB test)</t>
        </is>
      </c>
      <c r="I22" s="14" t="inlineStr">
        <is>
          <t>16-17/10/2026</t>
        </is>
      </c>
      <c r="J22" s="14" t="inlineStr"/>
    </row>
    <row r="23">
      <c r="A23" s="6" t="inlineStr">
        <is>
          <t>TC-19</t>
        </is>
      </c>
      <c r="B23" s="6" t="inlineStr">
        <is>
          <t>FR-20</t>
        </is>
      </c>
      <c r="C23" s="6" t="inlineStr">
        <is>
          <t>2 CTV đã tạo HĐ, plugin giả lập</t>
        </is>
      </c>
      <c r="D23" s="6" t="inlineStr">
        <is>
          <t>Chọn 2 CTV &gt; Ký số hàng loạt</t>
        </is>
      </c>
      <c r="E23" s="6" t="inlineStr">
        <is>
          <t>1 lần signArrDataAdvanced (2 file); PdfSigner đúng trang/toạ độ/SigType/ảnh/mô tả; lưu _da_ky.pdf + chứng thư</t>
        </is>
      </c>
      <c r="F23" s="6" t="inlineStr">
        <is>
          <t>Đúng; cert "CÔNG TY TNHH ABC (TEST) | Serial 54010101abcdef"</t>
        </is>
      </c>
      <c r="G23" s="14" t="inlineStr">
        <is>
          <t>Đạt (plugin giả)</t>
        </is>
      </c>
      <c r="H23" s="14" t="inlineStr">
        <is>
          <t>Claude (DB test)</t>
        </is>
      </c>
      <c r="I23" s="14" t="inlineStr">
        <is>
          <t>16-17/10/2026</t>
        </is>
      </c>
      <c r="J23" s="14" t="inlineStr"/>
    </row>
    <row r="24">
      <c r="A24" s="6" t="inlineStr">
        <is>
          <t>TC-20</t>
        </is>
      </c>
      <c r="B24" s="6" t="inlineStr">
        <is>
          <t>FR-20</t>
        </is>
      </c>
      <c r="C24" s="6" t="inlineStr">
        <is>
          <t>USB Token thật + license chính thức</t>
        </is>
      </c>
      <c r="D24" s="6" t="inlineStr">
        <is>
          <t>Ký 1 hợp đồng, mở bằng Adobe/Foxit</t>
        </is>
      </c>
      <c r="E24" s="6" t="inlineStr">
        <is>
          <t>Chữ ký hợp lệ, hiển thị đúng kiểu cấu hình</t>
        </is>
      </c>
      <c r="F24" s="6" t="inlineStr"/>
      <c r="G24" s="14" t="inlineStr">
        <is>
          <t>Chưa test – cần token</t>
        </is>
      </c>
      <c r="H24" s="14" t="inlineStr"/>
      <c r="I24" s="14" t="inlineStr"/>
      <c r="J24" s="14" t="inlineStr"/>
    </row>
    <row r="25">
      <c r="A25" s="6" t="inlineStr">
        <is>
          <t>TC-21</t>
        </is>
      </c>
      <c r="B25" s="6" t="inlineStr">
        <is>
          <t>FR-18</t>
        </is>
      </c>
      <c r="C25" s="6" t="inlineStr">
        <is>
          <t>Token thật</t>
        </is>
      </c>
      <c r="D25" s="6" t="inlineStr">
        <is>
          <t>Thử lần lượt 5 kiểu hiển thị, màu chữ, ký nháy</t>
        </is>
      </c>
      <c r="E25" s="6" t="inlineStr">
        <is>
          <t>Hiển thị đúng từng kiểu</t>
        </is>
      </c>
      <c r="F25" s="6" t="inlineStr"/>
      <c r="G25" s="14" t="inlineStr">
        <is>
          <t>Chưa test – cần token</t>
        </is>
      </c>
      <c r="H25" s="14" t="inlineStr"/>
      <c r="I25" s="14" t="inlineStr"/>
      <c r="J25" s="14" t="inlineStr"/>
    </row>
    <row r="26">
      <c r="A26" s="6" t="inlineStr">
        <is>
          <t>TC-22</t>
        </is>
      </c>
      <c r="B26" s="6" t="inlineStr">
        <is>
          <t>FR-21</t>
        </is>
      </c>
      <c r="C26" s="6" t="inlineStr">
        <is>
          <t>Template có ký số, chưa ký</t>
        </is>
      </c>
      <c r="D26" s="6" t="inlineStr">
        <is>
          <t>Gửi mail</t>
        </is>
      </c>
      <c r="E26" s="6" t="inlineStr">
        <is>
          <t>Báo "chưa được bên A ký số"</t>
        </is>
      </c>
      <c r="F26" s="6" t="inlineStr">
        <is>
          <t>Đúng</t>
        </is>
      </c>
      <c r="G26" s="14" t="inlineStr">
        <is>
          <t>Đạt</t>
        </is>
      </c>
      <c r="H26" s="14" t="inlineStr">
        <is>
          <t>Claude (DB test)</t>
        </is>
      </c>
      <c r="I26" s="14" t="inlineStr">
        <is>
          <t>16-17/10/2026</t>
        </is>
      </c>
      <c r="J26" s="14" t="inlineStr"/>
    </row>
    <row r="27">
      <c r="A27" s="6" t="inlineStr">
        <is>
          <t>TC-23</t>
        </is>
      </c>
      <c r="B27" s="6" t="inlineStr">
        <is>
          <t>FR-21</t>
        </is>
      </c>
      <c r="C27" s="6" t="inlineStr">
        <is>
          <t>Đã ký</t>
        </is>
      </c>
      <c r="D27" s="6" t="inlineStr">
        <is>
          <t>Ký lại / Tạo lại hợp đồng</t>
        </is>
      </c>
      <c r="E27" s="6" t="inlineStr">
        <is>
          <t>Ký lại bị chặn; tạo lại thì is_signed = False</t>
        </is>
      </c>
      <c r="F27" s="6" t="inlineStr">
        <is>
          <t>Đúng</t>
        </is>
      </c>
      <c r="G27" s="14" t="inlineStr">
        <is>
          <t>Đạt</t>
        </is>
      </c>
      <c r="H27" s="14" t="inlineStr">
        <is>
          <t>Claude (DB test)</t>
        </is>
      </c>
      <c r="I27" s="14" t="inlineStr">
        <is>
          <t>16-17/10/2026</t>
        </is>
      </c>
      <c r="J27" s="14" t="inlineStr"/>
    </row>
    <row r="28">
      <c r="A28" s="6" t="inlineStr">
        <is>
          <t>TC-24</t>
        </is>
      </c>
      <c r="B28" s="6" t="inlineStr">
        <is>
          <t>FR-22</t>
        </is>
      </c>
      <c r="C28" s="6" t="inlineStr">
        <is>
          <t>Cài module VNPT</t>
        </is>
      </c>
      <c r="D28" s="6" t="inlineStr">
        <is>
          <t>Mở Cấu hình ký số</t>
        </is>
      </c>
      <c r="E28" s="6" t="inlineStr">
        <is>
          <t>Có lựa chọn VNPT-CA Plugin + ô license; registry JS có "vnpt_plugin"</t>
        </is>
      </c>
      <c r="F28" s="6" t="inlineStr">
        <is>
          <t>Đúng</t>
        </is>
      </c>
      <c r="G28" s="14" t="inlineStr">
        <is>
          <t>Đạt</t>
        </is>
      </c>
      <c r="H28" s="14" t="inlineStr">
        <is>
          <t>Claude (DB test)</t>
        </is>
      </c>
      <c r="I28" s="14" t="inlineStr">
        <is>
          <t>16-17/10/2026</t>
        </is>
      </c>
      <c r="J28" s="14" t="inlineStr"/>
    </row>
    <row r="29">
      <c r="A29" s="6" t="inlineStr">
        <is>
          <t>TC-25</t>
        </is>
      </c>
      <c r="B29" s="6" t="inlineStr">
        <is>
          <t>FR-10</t>
        </is>
      </c>
      <c r="C29" s="6" t="inlineStr">
        <is>
          <t>User không có role</t>
        </is>
      </c>
      <c r="D29" s="6" t="inlineStr">
        <is>
          <t>Đăng nhập</t>
        </is>
      </c>
      <c r="E29" s="6" t="inlineStr">
        <is>
          <t>Không thấy menu Cộng tác viên</t>
        </is>
      </c>
      <c r="F29" s="6" t="inlineStr"/>
      <c r="G29" s="14" t="inlineStr">
        <is>
          <t>Chưa test</t>
        </is>
      </c>
      <c r="H29" s="14" t="inlineStr"/>
      <c r="I29" s="14" t="inlineStr"/>
      <c r="J29" s="14" t="inlineStr"/>
    </row>
  </sheetData>
  <autoFilter ref="A4:J29"/>
  <conditionalFormatting sqref="A5:J79">
    <cfRule type="expression" priority="1" dxfId="0">
      <formula>LEFT($G5,3)="Đạt"</formula>
    </cfRule>
    <cfRule type="expression" priority="2" dxfId="1">
      <formula>LEFT($G5,9)="Chưa test"</formula>
    </cfRule>
    <cfRule type="expression" priority="3" dxfId="2">
      <formula>$G5="Không đạt"</formula>
    </cfRule>
  </conditionalFormatting>
  <dataValidations count="1">
    <dataValidation sqref="G5:G79" showDropDown="0" showInputMessage="0" showErrorMessage="0" allowBlank="1" type="list">
      <formula1>"Đạt,Đạt (plugin giả),Không đạt,Chưa test,Chưa test – cần token"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04a. HƯỚNG DẪN BẢO TRÌ</t>
        </is>
      </c>
    </row>
    <row r="2">
      <c r="A2" s="2" t="inlineStr">
        <is>
          <t>TH Collaborator - Quản lý cộng tác viên &amp; hợp đồng · th_collaborator (16.0.1.3.0), th_collaborator_sign_vnpt (16.0.1.0.0) · Cập nhật 18/10/2026</t>
        </is>
      </c>
    </row>
    <row r="4">
      <c r="A4" s="5" t="inlineStr">
        <is>
          <t>Hạng mục</t>
        </is>
      </c>
      <c r="B4" s="5" t="inlineStr">
        <is>
          <t>Nội dung</t>
        </is>
      </c>
    </row>
    <row r="5">
      <c r="A5" s="6" t="inlineStr">
        <is>
          <t>Cài đặt / nâng cấp</t>
        </is>
      </c>
      <c r="B5" s="6" t="inlineStr">
        <is>
          <t>odoo-bin -c odoo.conf -d &lt;db&gt; -u th_collaborator,th_collaborator_sign_vnpt. Sửa Python cần restart; sửa view/field/data cần -u.</t>
        </is>
      </c>
    </row>
    <row r="6">
      <c r="A6" s="6" t="inlineStr">
        <is>
          <t>addons_path</t>
        </is>
      </c>
      <c r="B6" s="6" t="inlineStr">
        <is>
          <t>Phải chứa D:\work\odoo-16.0\Owl-odoo (hiện odoo.conf chưa có).</t>
        </is>
      </c>
    </row>
    <row r="7">
      <c r="A7" s="6" t="inlineStr">
        <is>
          <t>Font đục lỗ</t>
        </is>
      </c>
      <c r="B7" s="6" t="inlineStr">
        <is>
          <t>Linux: apt install fonts-dejavu-core, hoặc tham số hệ thống th_collaborator.pdf_font_path = đường dẫn .ttf. Đổi font cần restart.</t>
        </is>
      </c>
    </row>
    <row r="8">
      <c r="A8" s="6" t="inlineStr">
        <is>
          <t>Mail</t>
        </is>
      </c>
      <c r="B8" s="6" t="inlineStr">
        <is>
          <t>Kiểm tra Settings &gt; Technical &gt; Emails (Outgoing/Exception). Cron "Mail: Email Queue Manager" phải chạy (max_cron_threads &gt; 0). Email người phụ trách nên cùng domain SMTP (SPF/DMARC).</t>
        </is>
      </c>
    </row>
    <row r="9">
      <c r="A9" s="6" t="inlineStr">
        <is>
          <t>Giới hạn upload</t>
        </is>
      </c>
      <c r="B9" s="6" t="inlineStr">
        <is>
          <t>Trang CTV: TH_UPLOAD_MAX_FILES=10, TH_UPLOAD_MAX_FILE_SIZE=20MB (controllers/th_main.py). Wizard ZIP: 2.000 file/1GB. Nginx client_max_body_size, Odoo limit_request, limit_time_real.</t>
        </is>
      </c>
    </row>
    <row r="10">
      <c r="A10" s="6" t="inlineStr">
        <is>
          <t>License VNPT</t>
        </is>
      </c>
      <c r="B10" s="6" t="inlineStr">
        <is>
          <t>Cấu hình &gt; Cấu hình ký số &gt; License key. Gia hạn trước ngày hết hạn; key gắn domain.</t>
        </is>
      </c>
    </row>
    <row r="11">
      <c r="A11" s="6" t="inlineStr">
        <is>
          <t>Mẫu email</t>
        </is>
      </c>
      <c r="B11" s="6" t="inlineStr">
        <is>
          <t>Data noupdate=1: sửa trên giao diện, upgrade không ghi đè. Người gửi luôn bị ép = người phụ trách trong code.</t>
        </is>
      </c>
    </row>
    <row r="12">
      <c r="A12" s="6" t="inlineStr">
        <is>
          <t>Thêm trường đục lỗ</t>
        </is>
      </c>
      <c r="B12" s="6" t="inlineStr">
        <is>
          <t>Trường mới của CTV (char/text/date/selection/m2o/m2m...) tự xuất hiện trong danh sách chọn; loại trừ ở TH_EXCLUDED_FIELD_NAMES.</t>
        </is>
      </c>
    </row>
    <row r="13">
      <c r="A13" s="6" t="inlineStr">
        <is>
          <t>Thêm nhà cung cấp ký số</t>
        </is>
      </c>
      <c r="B13" s="6" t="inlineStr">
        <is>
          <t>Xem mục Mở rộng trong tài liệu thiết kế (module th_collaborator_sign_&lt;tên&gt;).</t>
        </is>
      </c>
    </row>
    <row r="14">
      <c r="A14" s="6" t="inlineStr">
        <is>
          <t>Log</t>
        </is>
      </c>
      <c r="B14" s="6" t="inlineStr">
        <is>
          <t>_logger ghi: gửi mail, CTV upload, sai SĐT, import hàng loạt, tải ZIP, ký số, lưu ô thiết kế.</t>
        </is>
      </c>
    </row>
    <row r="15">
      <c r="A15" s="6" t="inlineStr">
        <is>
          <t>Xử lý lỗi quyền</t>
        </is>
      </c>
      <c r="B15" s="6" t="inlineStr">
        <is>
          <t>Kiểm tra user có role "Nhân viên quản lý CTV" -&gt; group th_access_collaborator_user -&gt; ACL ir.model.access.csv.</t>
        </is>
      </c>
    </row>
    <row r="16">
      <c r="A16" s="6" t="inlineStr">
        <is>
          <t>Sao lưu</t>
        </is>
      </c>
      <c r="B16" s="6" t="inlineStr">
        <is>
          <t>Sao lưu DB + filestore (hợp đồng là ir.attachment trong filestore).</t>
        </is>
      </c>
    </row>
    <row r="17">
      <c r="A17" s="6" t="inlineStr">
        <is>
          <t>Dọn dẹp</t>
        </is>
      </c>
      <c r="B17" s="6" t="inlineStr">
        <is>
          <t>Các bản hợp đồng cũ đã gửi mail được giữ (chatter tham chiếu) – theo dõi dung lượng filestore.</t>
        </is>
      </c>
    </row>
  </sheetData>
  <autoFilter ref="A4:B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1" customWidth="1" min="3" max="3"/>
    <col width="34" customWidth="1" min="4" max="4"/>
    <col width="46" customWidth="1" min="5" max="5"/>
    <col width="16" customWidth="1" min="6" max="6"/>
    <col width="16" customWidth="1" min="7" max="7"/>
    <col width="12" customWidth="1" min="8" max="8"/>
    <col width="22" customWidth="1" min="9" max="9"/>
  </cols>
  <sheetData>
    <row r="1">
      <c r="A1" s="1" t="inlineStr">
        <is>
          <t>04b. VẤN ĐỀ TỒN ĐỌNG</t>
        </is>
      </c>
    </row>
    <row r="2">
      <c r="A2" s="2" t="inlineStr">
        <is>
          <t>Ô nền vàng (Trạng thái xử lý, Hạn, Ghi chú) để cập nhật tiến độ.</t>
        </is>
      </c>
    </row>
    <row r="4">
      <c r="A4" s="5" t="inlineStr">
        <is>
          <t>ID</t>
        </is>
      </c>
      <c r="B4" s="5" t="inlineStr">
        <is>
          <t>Vấn đề</t>
        </is>
      </c>
      <c r="C4" s="5" t="inlineStr">
        <is>
          <t>Mức độ</t>
        </is>
      </c>
      <c r="D4" s="5" t="inlineStr">
        <is>
          <t>Ảnh hưởng</t>
        </is>
      </c>
      <c r="E4" s="5" t="inlineStr">
        <is>
          <t>Đề xuất</t>
        </is>
      </c>
      <c r="F4" s="5" t="inlineStr">
        <is>
          <t>Phụ trách</t>
        </is>
      </c>
      <c r="G4" s="5" t="inlineStr">
        <is>
          <t>Trạng thái xử lý</t>
        </is>
      </c>
      <c r="H4" s="5" t="inlineStr">
        <is>
          <t>Hạn</t>
        </is>
      </c>
      <c r="I4" s="5" t="inlineStr">
        <is>
          <t>Ghi chú</t>
        </is>
      </c>
    </row>
    <row r="5">
      <c r="A5" s="6" t="inlineStr">
        <is>
          <t>ISS-01</t>
        </is>
      </c>
      <c r="B5" s="6" t="inlineStr">
        <is>
          <t>License VNPT-CA Plugin trong file mẫu là license TEST, hết hạn 30/10/2026</t>
        </is>
      </c>
      <c r="C5" s="6" t="inlineStr">
        <is>
          <t>Cao</t>
        </is>
      </c>
      <c r="D5" s="6" t="inlineStr">
        <is>
          <t>Hết hạn sẽ không ký được</t>
        </is>
      </c>
      <c r="E5" s="6" t="inlineStr">
        <is>
          <t>Xin license chính thức theo domain Odoo, nhập vào Cấu hình ký số</t>
        </is>
      </c>
      <c r="F5" s="6" t="inlineStr">
        <is>
          <t>Nghiệp vụ / VNPT</t>
        </is>
      </c>
      <c r="G5" s="14" t="inlineStr">
        <is>
          <t>Mở</t>
        </is>
      </c>
      <c r="H5" s="14" t="inlineStr"/>
      <c r="I5" s="14" t="inlineStr"/>
    </row>
    <row r="6">
      <c r="A6" s="6" t="inlineStr">
        <is>
          <t>ISS-02</t>
        </is>
      </c>
      <c r="B6" s="6" t="inlineStr">
        <is>
          <t>Chưa ký thử với USB Token thật (mới test với plugin giả lập)</t>
        </is>
      </c>
      <c r="C6" s="6" t="inlineStr">
        <is>
          <t>Cao</t>
        </is>
      </c>
      <c r="D6" s="6" t="inlineStr">
        <is>
          <t>Rủi ro khác biệt định dạng kết quả plugin</t>
        </is>
      </c>
      <c r="E6" s="6" t="inlineStr">
        <is>
          <t>Chạy TC-20, TC-21 trên máy có token</t>
        </is>
      </c>
      <c r="F6" s="6" t="inlineStr">
        <is>
          <t>Kỹ thuật</t>
        </is>
      </c>
      <c r="G6" s="14" t="inlineStr">
        <is>
          <t>Mở</t>
        </is>
      </c>
      <c r="H6" s="14" t="inlineStr"/>
      <c r="I6" s="14" t="inlineStr"/>
    </row>
    <row r="7">
      <c r="A7" s="6" t="inlineStr">
        <is>
          <t>ISS-03</t>
        </is>
      </c>
      <c r="B7" s="6" t="inlineStr">
        <is>
          <t>Chưa xác nhận: SigType=3 cho "Chỉ ảnh", định dạng SigColorRGB, PagesArray khi ký lô</t>
        </is>
      </c>
      <c r="C7" s="6" t="inlineStr">
        <is>
          <t>Trung bình</t>
        </is>
      </c>
      <c r="D7" s="6" t="inlineStr">
        <is>
          <t>Hiển thị chữ ký có thể sai</t>
        </is>
      </c>
      <c r="E7" s="6" t="inlineStr">
        <is>
          <t>Ký thử từng kiểu, đối chiếu tài liệu VNPT</t>
        </is>
      </c>
      <c r="F7" s="6" t="inlineStr">
        <is>
          <t>Kỹ thuật</t>
        </is>
      </c>
      <c r="G7" s="14" t="inlineStr">
        <is>
          <t>Mở</t>
        </is>
      </c>
      <c r="H7" s="14" t="inlineStr"/>
      <c r="I7" s="14" t="inlineStr"/>
    </row>
    <row r="8">
      <c r="A8" s="6" t="inlineStr">
        <is>
          <t>ISS-04</t>
        </is>
      </c>
      <c r="B8" s="6" t="inlineStr">
        <is>
          <t>Server chỉ kiểm tra PDF có /ByteRange, không xác thực chuỗi chứng thư/CRL/OCSP</t>
        </is>
      </c>
      <c r="C8" s="6" t="inlineStr">
        <is>
          <t>Trung bình</t>
        </is>
      </c>
      <c r="D8" s="6" t="inlineStr">
        <is>
          <t>Không phát hiện chữ ký giả mạo nếu RPC bị can thiệp</t>
        </is>
      </c>
      <c r="E8" s="6" t="inlineStr">
        <is>
          <t>Bổ sung xác thực (pyHanko/endesive) hoặc API kiểm tra của VNPT</t>
        </is>
      </c>
      <c r="F8" s="6" t="inlineStr">
        <is>
          <t>Kỹ thuật</t>
        </is>
      </c>
      <c r="G8" s="14" t="inlineStr">
        <is>
          <t>Mở</t>
        </is>
      </c>
      <c r="H8" s="14" t="inlineStr"/>
      <c r="I8" s="14" t="inlineStr"/>
    </row>
    <row r="9">
      <c r="A9" s="6" t="inlineStr">
        <is>
          <t>ISS-05</t>
        </is>
      </c>
      <c r="B9" s="6" t="inlineStr">
        <is>
          <t>force_send=True nhưng comment ghi False và thông báo list ghi "đưa vào hàng đợi"</t>
        </is>
      </c>
      <c r="C9" s="6" t="inlineStr">
        <is>
          <t>Thấp</t>
        </is>
      </c>
      <c r="D9" s="6" t="inlineStr">
        <is>
          <t>Gửi nhiều mail có thể treo request; thông báo sai</t>
        </is>
      </c>
      <c r="E9" s="6" t="inlineStr">
        <is>
          <t>Form gửi ngay, list dùng hàng đợi (force_send theo tham số); sửa comment/thông báo</t>
        </is>
      </c>
      <c r="F9" s="6" t="inlineStr">
        <is>
          <t>Kỹ thuật</t>
        </is>
      </c>
      <c r="G9" s="14" t="inlineStr">
        <is>
          <t>Mở</t>
        </is>
      </c>
      <c r="H9" s="14" t="inlineStr"/>
      <c r="I9" s="14" t="inlineStr"/>
    </row>
    <row r="10">
      <c r="A10" s="6" t="inlineStr">
        <is>
          <t>ISS-06</t>
        </is>
      </c>
      <c r="B10" s="6" t="inlineStr">
        <is>
          <t>Gửi mail bằng email người phụ trách qua SMTP công ty</t>
        </is>
      </c>
      <c r="C10" s="6" t="inlineStr">
        <is>
          <t>Trung bình</t>
        </is>
      </c>
      <c r="D10" s="6" t="inlineStr">
        <is>
          <t>Mail có thể bị chặn/spam (SPF/DMARC)</t>
        </is>
      </c>
      <c r="E10" s="6" t="inlineStr">
        <is>
          <t>Dùng email cùng domain hoặc cấu hình alias/mail.default.from</t>
        </is>
      </c>
      <c r="F10" s="6" t="inlineStr">
        <is>
          <t>Hạ tầng</t>
        </is>
      </c>
      <c r="G10" s="14" t="inlineStr">
        <is>
          <t>Mở</t>
        </is>
      </c>
      <c r="H10" s="14" t="inlineStr"/>
      <c r="I10" s="14" t="inlineStr"/>
    </row>
    <row r="11">
      <c r="A11" s="6" t="inlineStr">
        <is>
          <t>ISS-07</t>
        </is>
      </c>
      <c r="B11" s="6" t="inlineStr">
        <is>
          <t>File trong ZIP chưa giới hạn PDF/ảnh (rule 3 chỉ áp dụng upload thường)</t>
        </is>
      </c>
      <c r="C11" s="6" t="inlineStr">
        <is>
          <t>Thấp</t>
        </is>
      </c>
      <c r="D11" s="6" t="inlineStr">
        <is>
          <t>Có thể có file sai định dạng</t>
        </is>
      </c>
      <c r="E11" s="6" t="inlineStr">
        <is>
          <t>Xác nhận nghiệp vụ; nếu cần lọc &amp; báo file sai định dạng</t>
        </is>
      </c>
      <c r="F11" s="6" t="inlineStr">
        <is>
          <t>Nghiệp vụ</t>
        </is>
      </c>
      <c r="G11" s="14" t="inlineStr">
        <is>
          <t>Mở</t>
        </is>
      </c>
      <c r="H11" s="14" t="inlineStr"/>
      <c r="I11" s="14" t="inlineStr"/>
    </row>
    <row r="12">
      <c r="A12" s="6" t="inlineStr">
        <is>
          <t>ISS-08</t>
        </is>
      </c>
      <c r="B12" s="6" t="inlineStr">
        <is>
          <t>Trang upload công khai: không giới hạn tần suất, token không hết hạn</t>
        </is>
      </c>
      <c r="C12" s="6" t="inlineStr">
        <is>
          <t>Trung bình</t>
        </is>
      </c>
      <c r="D12" s="6" t="inlineStr">
        <is>
          <t>Lộ link + biết SĐT có thể upload thay</t>
        </is>
      </c>
      <c r="E12" s="6" t="inlineStr">
        <is>
          <t>Thêm hạn link, rate limit, captcha; dùng "Tạo lại link upload" khi lộ</t>
        </is>
      </c>
      <c r="F12" s="6" t="inlineStr">
        <is>
          <t>Kỹ thuật</t>
        </is>
      </c>
      <c r="G12" s="14" t="inlineStr">
        <is>
          <t>Mở</t>
        </is>
      </c>
      <c r="H12" s="14" t="inlineStr"/>
      <c r="I12" s="14" t="inlineStr"/>
    </row>
    <row r="13">
      <c r="A13" s="6" t="inlineStr">
        <is>
          <t>ISS-09</t>
        </is>
      </c>
      <c r="B13" s="6" t="inlineStr">
        <is>
          <t>Nhân viên có quyền xoá CTV; chưa chặn 1 user nhiều role</t>
        </is>
      </c>
      <c r="C13" s="6" t="inlineStr">
        <is>
          <t>Thấp</t>
        </is>
      </c>
      <c r="D13" s="6" t="inlineStr">
        <is>
          <t>Xoá nhầm dữ liệu</t>
        </is>
      </c>
      <c r="E13" s="6" t="inlineStr">
        <is>
          <t>Xác nhận với quản lý; có thể bỏ perm_unlink</t>
        </is>
      </c>
      <c r="F13" s="6" t="inlineStr">
        <is>
          <t>Quản lý</t>
        </is>
      </c>
      <c r="G13" s="14" t="inlineStr">
        <is>
          <t>Mở</t>
        </is>
      </c>
      <c r="H13" s="14" t="inlineStr"/>
      <c r="I13" s="14" t="inlineStr"/>
    </row>
    <row r="14">
      <c r="A14" s="6" t="inlineStr">
        <is>
          <t>ISS-10</t>
        </is>
      </c>
      <c r="B14" s="6" t="inlineStr">
        <is>
          <t>Tải ZIP truyền ids qua URL GET</t>
        </is>
      </c>
      <c r="C14" s="6" t="inlineStr">
        <is>
          <t>Thấp</t>
        </is>
      </c>
      <c r="D14" s="6" t="inlineStr">
        <is>
          <t>Chọn quá nhiều CTV có thể vượt độ dài URL</t>
        </is>
      </c>
      <c r="E14" s="6" t="inlineStr">
        <is>
          <t>Chuyển sang POST/wizard khi cần</t>
        </is>
      </c>
      <c r="F14" s="6" t="inlineStr">
        <is>
          <t>Kỹ thuật</t>
        </is>
      </c>
      <c r="G14" s="14" t="inlineStr">
        <is>
          <t>Mở</t>
        </is>
      </c>
      <c r="H14" s="14" t="inlineStr"/>
      <c r="I14" s="14" t="inlineStr"/>
    </row>
    <row r="15">
      <c r="A15" s="6" t="inlineStr">
        <is>
          <t>ISS-11</t>
        </is>
      </c>
      <c r="B15" s="6" t="inlineStr">
        <is>
          <t>Ký hàng loạt gửi toàn bộ PDF base64 trong 1 RPC</t>
        </is>
      </c>
      <c r="C15" s="6" t="inlineStr">
        <is>
          <t>Trung bình</t>
        </is>
      </c>
      <c r="D15" s="6" t="inlineStr">
        <is>
          <t>Lô lớn (hàng trăm) có thể chậm/timeout</t>
        </is>
      </c>
      <c r="E15" s="6" t="inlineStr">
        <is>
          <t>Chia lô (ví dụ 20 hợp đồng/lần) trong JS</t>
        </is>
      </c>
      <c r="F15" s="6" t="inlineStr">
        <is>
          <t>Kỹ thuật</t>
        </is>
      </c>
      <c r="G15" s="14" t="inlineStr">
        <is>
          <t>Mở</t>
        </is>
      </c>
      <c r="H15" s="14" t="inlineStr"/>
      <c r="I15" s="14" t="inlineStr"/>
    </row>
    <row r="16">
      <c r="A16" s="6" t="inlineStr">
        <is>
          <t>ISS-12</t>
        </is>
      </c>
      <c r="B16" s="6" t="inlineStr">
        <is>
          <t>Đục lỗ trên trang PDF bị xoay (/Rotate) chưa test</t>
        </is>
      </c>
      <c r="C16" s="6" t="inlineStr">
        <is>
          <t>Thấp</t>
        </is>
      </c>
      <c r="D16" s="6" t="inlineStr">
        <is>
          <t>Chữ có thể sai hướng</t>
        </is>
      </c>
      <c r="E16" s="6" t="inlineStr">
        <is>
          <t>Test với PDF xoay; xử lý xoay trong overlay</t>
        </is>
      </c>
      <c r="F16" s="6" t="inlineStr">
        <is>
          <t>Kỹ thuật</t>
        </is>
      </c>
      <c r="G16" s="14" t="inlineStr">
        <is>
          <t>Mở</t>
        </is>
      </c>
      <c r="H16" s="14" t="inlineStr"/>
      <c r="I16" s="14" t="inlineStr"/>
    </row>
    <row r="17">
      <c r="A17" s="6" t="inlineStr">
        <is>
          <t>ISS-13</t>
        </is>
      </c>
      <c r="B17" s="6" t="inlineStr">
        <is>
          <t>Tên file tiếng Việt trong ZIP tạo trên Windows có thể lỗi font</t>
        </is>
      </c>
      <c r="C17" s="6" t="inlineStr">
        <is>
          <t>Thấp</t>
        </is>
      </c>
      <c r="D17" s="6" t="inlineStr">
        <is>
          <t>Tên hiển thị khó đọc (map vẫn đúng)</t>
        </is>
      </c>
      <c r="E17" s="6" t="inlineStr">
        <is>
          <t>Đặt tên không dấu hoặc nén bằng 7-Zip</t>
        </is>
      </c>
      <c r="F17" s="6" t="inlineStr">
        <is>
          <t>Người dùng</t>
        </is>
      </c>
      <c r="G17" s="14" t="inlineStr">
        <is>
          <t>Mở</t>
        </is>
      </c>
      <c r="H17" s="14" t="inlineStr"/>
      <c r="I17" s="14" t="inlineStr"/>
    </row>
    <row r="18">
      <c r="A18" s="6" t="inlineStr">
        <is>
          <t>ISS-14</t>
        </is>
      </c>
      <c r="B18" s="6" t="inlineStr">
        <is>
          <t>File CTV upload trước khi có quy tắc SĐT_Tên vẫn giữ tên cũ</t>
        </is>
      </c>
      <c r="C18" s="6" t="inlineStr">
        <is>
          <t>Thấp</t>
        </is>
      </c>
      <c r="D18" s="6" t="inlineStr">
        <is>
          <t>Tên không đồng nhất</t>
        </is>
      </c>
      <c r="E18" s="6" t="inlineStr">
        <is>
          <t>Viết script đổi tên hàng loạt nếu cần</t>
        </is>
      </c>
      <c r="F18" s="6" t="inlineStr">
        <is>
          <t>Kỹ thuật</t>
        </is>
      </c>
      <c r="G18" s="14" t="inlineStr">
        <is>
          <t>Mở</t>
        </is>
      </c>
      <c r="H18" s="14" t="inlineStr"/>
      <c r="I18" s="14" t="inlineStr"/>
    </row>
    <row r="19">
      <c r="A19" s="6" t="inlineStr">
        <is>
          <t>ISS-15</t>
        </is>
      </c>
      <c r="B19" s="6" t="inlineStr">
        <is>
          <t>Màn hình thiết kế mới test bằng mô phỏng sự kiện; màn hình hẹp chật</t>
        </is>
      </c>
      <c r="C19" s="6" t="inlineStr">
        <is>
          <t>Thấp</t>
        </is>
      </c>
      <c r="D19" s="6" t="inlineStr">
        <is>
          <t>Trải nghiệm kéo thả thật chưa xác nhận</t>
        </is>
      </c>
      <c r="E19" s="6" t="inlineStr">
        <is>
          <t>Test bằng chuột thật; dùng màn hình ≥1280px</t>
        </is>
      </c>
      <c r="F19" s="6" t="inlineStr">
        <is>
          <t>Kỹ thuật</t>
        </is>
      </c>
      <c r="G19" s="14" t="inlineStr">
        <is>
          <t>Mở</t>
        </is>
      </c>
      <c r="H19" s="14" t="inlineStr"/>
      <c r="I19" s="14" t="inlineStr"/>
    </row>
    <row r="20">
      <c r="A20" s="6" t="inlineStr">
        <is>
          <t>ISS-16</t>
        </is>
      </c>
      <c r="B20" s="6" t="inlineStr">
        <is>
          <t>Bên B (CTV) chưa ký số, vẫn upload bản ký tay/scan</t>
        </is>
      </c>
      <c r="C20" s="6" t="inlineStr">
        <is>
          <t>Trung bình</t>
        </is>
      </c>
      <c r="D20" s="6" t="inlineStr">
        <is>
          <t>Hợp đồng chưa có chữ ký số 2 bên</t>
        </is>
      </c>
      <c r="E20" s="6" t="inlineStr">
        <is>
          <t>Thêm provider kiểu server (VNPT SmartCA...) theo khung mở rộng</t>
        </is>
      </c>
      <c r="F20" s="6" t="inlineStr">
        <is>
          <t>Nghiệp vụ</t>
        </is>
      </c>
      <c r="G20" s="14" t="inlineStr">
        <is>
          <t>Mở</t>
        </is>
      </c>
      <c r="H20" s="14" t="inlineStr"/>
      <c r="I20" s="14" t="inlineStr"/>
    </row>
    <row r="21">
      <c r="A21" s="6" t="inlineStr">
        <is>
          <t>ISS-17</t>
        </is>
      </c>
      <c r="B21" s="6" t="inlineStr">
        <is>
          <t>Chưa có test tự động (odoo tests)</t>
        </is>
      </c>
      <c r="C21" s="6" t="inlineStr">
        <is>
          <t>Trung bình</t>
        </is>
      </c>
      <c r="D21" s="6" t="inlineStr">
        <is>
          <t>Khó phát hiện lỗi hồi quy</t>
        </is>
      </c>
      <c r="E21" s="6" t="inlineStr">
        <is>
          <t>Viết TransactionCase cho đục lỗ, map ZIP, ký số (mock), controller</t>
        </is>
      </c>
      <c r="F21" s="6" t="inlineStr">
        <is>
          <t>Kỹ thuật</t>
        </is>
      </c>
      <c r="G21" s="14" t="inlineStr">
        <is>
          <t>Mở</t>
        </is>
      </c>
      <c r="H21" s="14" t="inlineStr"/>
      <c r="I21" s="14" t="inlineStr"/>
    </row>
    <row r="22">
      <c r="A22" s="6" t="inlineStr">
        <is>
          <t>ISS-18</t>
        </is>
      </c>
      <c r="B22" s="6" t="inlineStr">
        <is>
          <t>Bản hợp đồng cũ đã gửi mail không bao giờ bị xoá</t>
        </is>
      </c>
      <c r="C22" s="6" t="inlineStr">
        <is>
          <t>Thấp</t>
        </is>
      </c>
      <c r="D22" s="6" t="inlineStr">
        <is>
          <t>Filestore tăng dần</t>
        </is>
      </c>
      <c r="E22" s="6" t="inlineStr">
        <is>
          <t>Theo dõi; có thể thêm cron lưu trữ</t>
        </is>
      </c>
      <c r="F22" s="6" t="inlineStr">
        <is>
          <t>Kỹ thuật</t>
        </is>
      </c>
      <c r="G22" s="14" t="inlineStr">
        <is>
          <t>Mở</t>
        </is>
      </c>
      <c r="H22" s="14" t="inlineStr"/>
      <c r="I22" s="14" t="inlineStr"/>
    </row>
    <row r="23">
      <c r="A23" s="6" t="inlineStr">
        <is>
          <t>ISS-19</t>
        </is>
      </c>
      <c r="B23" s="6" t="inlineStr">
        <is>
          <t>Trường chọn đục lỗ lưu tên field; đổi/xoá field CTV sau này sẽ làm dòng cấu hình mất tác dụng</t>
        </is>
      </c>
      <c r="C23" s="6" t="inlineStr">
        <is>
          <t>Thấp</t>
        </is>
      </c>
      <c r="D23" s="6" t="inlineStr">
        <is>
          <t>Ô đục lỗ để trống</t>
        </is>
      </c>
      <c r="E23" s="6" t="inlineStr">
        <is>
          <t>Kiểm tra cấu hình template sau khi đổi field</t>
        </is>
      </c>
      <c r="F23" s="6" t="inlineStr">
        <is>
          <t>Kỹ thuật</t>
        </is>
      </c>
      <c r="G23" s="14" t="inlineStr">
        <is>
          <t>Mở</t>
        </is>
      </c>
      <c r="H23" s="14" t="inlineStr"/>
      <c r="I23" s="14" t="inlineStr"/>
    </row>
    <row r="24">
      <c r="A24" s="6" t="inlineStr">
        <is>
          <t>ISS-20</t>
        </is>
      </c>
      <c r="B24" s="6" t="inlineStr">
        <is>
          <t>DB thử nghiệm th_collaborator_test vẫn tồn tại trên PostgreSQL local</t>
        </is>
      </c>
      <c r="C24" s="6" t="inlineStr">
        <is>
          <t>Thấp</t>
        </is>
      </c>
      <c r="D24" s="6" t="inlineStr">
        <is>
          <t>Chiếm dung lượng</t>
        </is>
      </c>
      <c r="E24" s="6" t="inlineStr">
        <is>
          <t>Xoá khi không còn dùng</t>
        </is>
      </c>
      <c r="F24" s="6" t="inlineStr">
        <is>
          <t>Kỹ thuật</t>
        </is>
      </c>
      <c r="G24" s="14" t="inlineStr">
        <is>
          <t>Mở</t>
        </is>
      </c>
      <c r="H24" s="14" t="inlineStr"/>
      <c r="I24" s="14" t="inlineStr"/>
    </row>
  </sheetData>
  <autoFilter ref="A4:I24"/>
  <conditionalFormatting sqref="C5:C74">
    <cfRule type="expression" priority="1" dxfId="2">
      <formula>$C5="Cao"</formula>
    </cfRule>
    <cfRule type="expression" priority="2" dxfId="1">
      <formula>$C5="Trung bình"</formula>
    </cfRule>
  </conditionalFormatting>
  <conditionalFormatting sqref="G5:G74">
    <cfRule type="expression" priority="3" dxfId="0">
      <formula>$G5="Đã xử lý"</formula>
    </cfRule>
  </conditionalFormatting>
  <dataValidations count="2">
    <dataValidation sqref="G5:G74" showDropDown="0" showInputMessage="0" showErrorMessage="0" allowBlank="1" type="list">
      <formula1>"Mở,Đang xử lý,Đã xử lý,Không xử lý"</formula1>
    </dataValidation>
    <dataValidation sqref="C5:C74" showDropDown="0" showInputMessage="0" showErrorMessage="0" allowBlank="1" type="list">
      <formula1>"Cao,Trung bình,Thấp"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2026-10-18T14:22:55Z</dcterms:created>
  <dcterms:modified xmlns:dcterms="http://purl.org/dc/terms/" xmlns:xsi="http://www.w3.org/2001/XMLSchema-instance" xsi:type="dcterms:W3CDTF">2026-10-18T14:22:55Z</dcterms:modified>
</cp:coreProperties>
</file>